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filterPrivacy="1" defaultThemeVersion="124226"/>
  <xr:revisionPtr revIDLastSave="0" documentId="13_ncr:1_{3F3CFECA-8961-4F0A-8785-3F8DAA07541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动平衡策略" sheetId="1" r:id="rId1"/>
    <sheet name="日定投策略" sheetId="4" r:id="rId2"/>
    <sheet name="投资总结" sheetId="6" r:id="rId3"/>
    <sheet name="投资准则" sheetId="2" r:id="rId4"/>
    <sheet name="草稿" sheetId="7" r:id="rId5"/>
  </sheets>
  <calcPr calcId="191029"/>
</workbook>
</file>

<file path=xl/calcChain.xml><?xml version="1.0" encoding="utf-8"?>
<calcChain xmlns="http://schemas.openxmlformats.org/spreadsheetml/2006/main">
  <c r="K22" i="1" l="1"/>
  <c r="F14" i="1" s="1"/>
  <c r="J14" i="1" s="1"/>
  <c r="C3" i="1" l="1"/>
  <c r="E3" i="1" l="1"/>
  <c r="K14" i="1" s="1"/>
  <c r="I14" i="1" l="1"/>
</calcChain>
</file>

<file path=xl/sharedStrings.xml><?xml version="1.0" encoding="utf-8"?>
<sst xmlns="http://schemas.openxmlformats.org/spreadsheetml/2006/main" count="176" uniqueCount="156">
  <si>
    <t>今年收益率</t>
    <phoneticPr fontId="1" type="noConversion"/>
  </si>
  <si>
    <t>时间</t>
    <phoneticPr fontId="1" type="noConversion"/>
  </si>
  <si>
    <t>今年收益</t>
    <phoneticPr fontId="1" type="noConversion"/>
  </si>
  <si>
    <t>2020/5/17</t>
    <phoneticPr fontId="1" type="noConversion"/>
  </si>
  <si>
    <t>2020/6/26</t>
    <phoneticPr fontId="1" type="noConversion"/>
  </si>
  <si>
    <t>基金投资</t>
    <phoneticPr fontId="1" type="noConversion"/>
  </si>
  <si>
    <t>2020/7/12</t>
    <phoneticPr fontId="1" type="noConversion"/>
  </si>
  <si>
    <t>2020/7/26</t>
    <phoneticPr fontId="1" type="noConversion"/>
  </si>
  <si>
    <t>现总金额</t>
    <phoneticPr fontId="1" type="noConversion"/>
  </si>
  <si>
    <t>现债券基金</t>
    <phoneticPr fontId="1" type="noConversion"/>
  </si>
  <si>
    <t>现混合基金</t>
    <phoneticPr fontId="1" type="noConversion"/>
  </si>
  <si>
    <t>2020/8/16</t>
    <phoneticPr fontId="1" type="noConversion"/>
  </si>
  <si>
    <t>2020/8/23</t>
    <phoneticPr fontId="1" type="noConversion"/>
  </si>
  <si>
    <t>实际仓位</t>
    <phoneticPr fontId="1" type="noConversion"/>
  </si>
  <si>
    <t>2020/9/20</t>
    <phoneticPr fontId="1" type="noConversion"/>
  </si>
  <si>
    <t>建议仓位</t>
    <phoneticPr fontId="1" type="noConversion"/>
  </si>
  <si>
    <t>1.减少交易频率</t>
    <phoneticPr fontId="1" type="noConversion"/>
  </si>
  <si>
    <t>2.关注政策形势</t>
    <phoneticPr fontId="1" type="noConversion"/>
  </si>
  <si>
    <t>3.关注外围市场</t>
    <phoneticPr fontId="1" type="noConversion"/>
  </si>
  <si>
    <t>4.躲避风险火车</t>
    <phoneticPr fontId="1" type="noConversion"/>
  </si>
  <si>
    <t>5.坚持投资纪律</t>
    <phoneticPr fontId="1" type="noConversion"/>
  </si>
  <si>
    <t>6.适当利用别人的恐慌</t>
    <phoneticPr fontId="1" type="noConversion"/>
  </si>
  <si>
    <t>7.利用钟摆效应</t>
    <phoneticPr fontId="1" type="noConversion"/>
  </si>
  <si>
    <t>8.适当双向思考</t>
    <phoneticPr fontId="1" type="noConversion"/>
  </si>
  <si>
    <t>9.机会是等来的</t>
    <phoneticPr fontId="1" type="noConversion"/>
  </si>
  <si>
    <t>10.不要在拐点做决策</t>
    <phoneticPr fontId="1" type="noConversion"/>
  </si>
  <si>
    <t>11.不要让盈利变为亏损离场</t>
    <phoneticPr fontId="1" type="noConversion"/>
  </si>
  <si>
    <t>12.悲观中诞生，怀疑中成长，乐观中成熟，兴奋中死亡</t>
    <phoneticPr fontId="1" type="noConversion"/>
  </si>
  <si>
    <t>13.量能与估值的金字塔策略</t>
    <phoneticPr fontId="1" type="noConversion"/>
  </si>
  <si>
    <t>14.关注WM双顶及双底</t>
    <phoneticPr fontId="1" type="noConversion"/>
  </si>
  <si>
    <t>15长期看经济国际形势，中期看IPO利率，短期看供求</t>
    <phoneticPr fontId="1" type="noConversion"/>
  </si>
  <si>
    <t>微信公众号</t>
    <phoneticPr fontId="1" type="noConversion"/>
  </si>
  <si>
    <t>双社保</t>
    <phoneticPr fontId="1" type="noConversion"/>
  </si>
  <si>
    <t>双支付宝</t>
    <phoneticPr fontId="1" type="noConversion"/>
  </si>
  <si>
    <t>双中信</t>
    <phoneticPr fontId="1" type="noConversion"/>
  </si>
  <si>
    <t>河北农合卡</t>
    <phoneticPr fontId="1" type="noConversion"/>
  </si>
  <si>
    <t>房子押金</t>
    <phoneticPr fontId="1" type="noConversion"/>
  </si>
  <si>
    <t>浦发卡</t>
    <phoneticPr fontId="1" type="noConversion"/>
  </si>
  <si>
    <t>交银兴中富银京</t>
    <phoneticPr fontId="1" type="noConversion"/>
  </si>
  <si>
    <t>招农大浦河</t>
    <phoneticPr fontId="1" type="noConversion"/>
  </si>
  <si>
    <t>2020/9/26</t>
    <phoneticPr fontId="1" type="noConversion"/>
  </si>
  <si>
    <t>2020/9/28</t>
    <phoneticPr fontId="1" type="noConversion"/>
  </si>
  <si>
    <t>债券求和</t>
    <phoneticPr fontId="1" type="noConversion"/>
  </si>
  <si>
    <t>最低点位</t>
    <phoneticPr fontId="1" type="noConversion"/>
  </si>
  <si>
    <t>最高点位</t>
    <phoneticPr fontId="1" type="noConversion"/>
  </si>
  <si>
    <t>2020/10/18</t>
    <phoneticPr fontId="1" type="noConversion"/>
  </si>
  <si>
    <t xml:space="preserve">调仓金额：总金额*建议仓位-现混合基金。
实际仓位：混合基金所占仓位。
建议仓位：最低仓位3层，最高点位减至3层，最低点位加至最高仓位。
调仓周期：下行阶段每个周四，上行阶段随时调仓。
</t>
    <phoneticPr fontId="1" type="noConversion"/>
  </si>
  <si>
    <t>2020/10/25</t>
    <phoneticPr fontId="1" type="noConversion"/>
  </si>
  <si>
    <t>上交所</t>
    <phoneticPr fontId="1" type="noConversion"/>
  </si>
  <si>
    <t>深交所</t>
    <phoneticPr fontId="1" type="noConversion"/>
  </si>
  <si>
    <t>市盈率</t>
    <phoneticPr fontId="1" type="noConversion"/>
  </si>
  <si>
    <t>平均市盈率</t>
    <phoneticPr fontId="1" type="noConversion"/>
  </si>
  <si>
    <t>调仓金额（总金额*建议仓位-现混合基金）*建议仓位</t>
    <phoneticPr fontId="1" type="noConversion"/>
  </si>
  <si>
    <t>2020/10/29</t>
    <phoneticPr fontId="1" type="noConversion"/>
  </si>
  <si>
    <t>2020/11/7</t>
    <phoneticPr fontId="1" type="noConversion"/>
  </si>
  <si>
    <t>2020/11/07</t>
    <phoneticPr fontId="1" type="noConversion"/>
  </si>
  <si>
    <t>2020/11/10</t>
    <phoneticPr fontId="1" type="noConversion"/>
  </si>
  <si>
    <t>2020/11/12</t>
    <phoneticPr fontId="1" type="noConversion"/>
  </si>
  <si>
    <t>2020/11/15</t>
    <phoneticPr fontId="1" type="noConversion"/>
  </si>
  <si>
    <t>2020/11/21</t>
    <phoneticPr fontId="1" type="noConversion"/>
  </si>
  <si>
    <t>2020/11/29</t>
    <phoneticPr fontId="1" type="noConversion"/>
  </si>
  <si>
    <t>2020/12/06</t>
    <phoneticPr fontId="1" type="noConversion"/>
  </si>
  <si>
    <t>序号</t>
    <phoneticPr fontId="1" type="noConversion"/>
  </si>
  <si>
    <t>代码</t>
    <phoneticPr fontId="1" type="noConversion"/>
  </si>
  <si>
    <t>名称</t>
    <phoneticPr fontId="1" type="noConversion"/>
  </si>
  <si>
    <t>基金经理</t>
    <phoneticPr fontId="1" type="noConversion"/>
  </si>
  <si>
    <t>金额</t>
    <phoneticPr fontId="1" type="noConversion"/>
  </si>
  <si>
    <t>机构持仓比</t>
    <phoneticPr fontId="1" type="noConversion"/>
  </si>
  <si>
    <t>519769</t>
    <phoneticPr fontId="1" type="noConversion"/>
  </si>
  <si>
    <t>交银优选回报灵活配置</t>
    <phoneticPr fontId="1" type="noConversion"/>
  </si>
  <si>
    <t>李娜</t>
    <phoneticPr fontId="1" type="noConversion"/>
  </si>
  <si>
    <t>519771</t>
    <phoneticPr fontId="1" type="noConversion"/>
  </si>
  <si>
    <t>交银优择回报灵活配置</t>
    <phoneticPr fontId="1" type="noConversion"/>
  </si>
  <si>
    <t>519732</t>
    <phoneticPr fontId="1" type="noConversion"/>
  </si>
  <si>
    <t>交银定期支付双息平衡混合</t>
    <phoneticPr fontId="1" type="noConversion"/>
  </si>
  <si>
    <t>杨浩</t>
    <phoneticPr fontId="1" type="noConversion"/>
  </si>
  <si>
    <t>001182</t>
    <phoneticPr fontId="1" type="noConversion"/>
  </si>
  <si>
    <t>易方达安心回报混合</t>
    <phoneticPr fontId="1" type="noConversion"/>
  </si>
  <si>
    <t>张清华</t>
    <phoneticPr fontId="1" type="noConversion"/>
  </si>
  <si>
    <t>519697</t>
    <phoneticPr fontId="1" type="noConversion"/>
  </si>
  <si>
    <t>交银优势行业混合</t>
    <phoneticPr fontId="1" type="noConversion"/>
  </si>
  <si>
    <t>何帅</t>
    <phoneticPr fontId="1" type="noConversion"/>
  </si>
  <si>
    <t>000751</t>
    <phoneticPr fontId="1" type="noConversion"/>
  </si>
  <si>
    <t>嘉实新兴产业股票</t>
    <phoneticPr fontId="1" type="noConversion"/>
  </si>
  <si>
    <t>归凯</t>
    <phoneticPr fontId="1" type="noConversion"/>
  </si>
  <si>
    <t>519736</t>
    <phoneticPr fontId="1" type="noConversion"/>
  </si>
  <si>
    <t>交银施罗德新成长混合</t>
    <phoneticPr fontId="1" type="noConversion"/>
  </si>
  <si>
    <t>王崇</t>
    <phoneticPr fontId="1" type="noConversion"/>
  </si>
  <si>
    <t>005001</t>
    <phoneticPr fontId="1" type="noConversion"/>
  </si>
  <si>
    <t>交银施罗德持续成长主题混合</t>
    <phoneticPr fontId="1" type="noConversion"/>
  </si>
  <si>
    <t>163406</t>
    <phoneticPr fontId="1" type="noConversion"/>
  </si>
  <si>
    <t>兴权合润分级混合</t>
    <phoneticPr fontId="1" type="noConversion"/>
  </si>
  <si>
    <t>谢治宇</t>
    <phoneticPr fontId="1" type="noConversion"/>
  </si>
  <si>
    <t>110011</t>
    <phoneticPr fontId="1" type="noConversion"/>
  </si>
  <si>
    <t>易方达中小盘混合</t>
    <phoneticPr fontId="1" type="noConversion"/>
  </si>
  <si>
    <t>张坤</t>
    <phoneticPr fontId="1" type="noConversion"/>
  </si>
  <si>
    <t>519772</t>
    <phoneticPr fontId="1" type="noConversion"/>
  </si>
  <si>
    <t>交银施罗德新生活力灵活配置</t>
    <phoneticPr fontId="1" type="noConversion"/>
  </si>
  <si>
    <t>003494</t>
    <phoneticPr fontId="1" type="noConversion"/>
  </si>
  <si>
    <t>富国天惠成长混合</t>
    <phoneticPr fontId="1" type="noConversion"/>
  </si>
  <si>
    <t>朱少醒</t>
    <phoneticPr fontId="1" type="noConversion"/>
  </si>
  <si>
    <t>519700</t>
    <phoneticPr fontId="1" type="noConversion"/>
  </si>
  <si>
    <t>交银主题优选混合</t>
    <phoneticPr fontId="1" type="noConversion"/>
  </si>
  <si>
    <t>沈楠</t>
    <phoneticPr fontId="1" type="noConversion"/>
  </si>
  <si>
    <t>004233</t>
    <phoneticPr fontId="1" type="noConversion"/>
  </si>
  <si>
    <t>中欧盛世成长混合</t>
    <phoneticPr fontId="1" type="noConversion"/>
  </si>
  <si>
    <t>魏博</t>
    <phoneticPr fontId="1" type="noConversion"/>
  </si>
  <si>
    <t>000136</t>
    <phoneticPr fontId="1" type="noConversion"/>
  </si>
  <si>
    <t>民生加银策略精选灵活配置混合</t>
    <phoneticPr fontId="1" type="noConversion"/>
  </si>
  <si>
    <t>孙伟</t>
    <phoneticPr fontId="1" type="noConversion"/>
  </si>
  <si>
    <t>000940</t>
    <phoneticPr fontId="1" type="noConversion"/>
  </si>
  <si>
    <t>富国中小盘混合</t>
    <phoneticPr fontId="1" type="noConversion"/>
  </si>
  <si>
    <t>曹晋</t>
    <phoneticPr fontId="1" type="noConversion"/>
  </si>
  <si>
    <t>008315</t>
    <phoneticPr fontId="1" type="noConversion"/>
  </si>
  <si>
    <t>上投摩根慧选成长</t>
    <phoneticPr fontId="1" type="noConversion"/>
  </si>
  <si>
    <t>李德辉</t>
    <phoneticPr fontId="1" type="noConversion"/>
  </si>
  <si>
    <t>519704</t>
    <phoneticPr fontId="1" type="noConversion"/>
  </si>
  <si>
    <t>交银施罗德先进制造</t>
    <phoneticPr fontId="1" type="noConversion"/>
  </si>
  <si>
    <t>刘鹏</t>
    <phoneticPr fontId="1" type="noConversion"/>
  </si>
  <si>
    <t>519066</t>
    <phoneticPr fontId="1" type="noConversion"/>
  </si>
  <si>
    <t>汇添富蓝筹稳健混合</t>
    <phoneticPr fontId="1" type="noConversion"/>
  </si>
  <si>
    <t>雷鸣</t>
    <phoneticPr fontId="1" type="noConversion"/>
  </si>
  <si>
    <t>166011</t>
    <phoneticPr fontId="1" type="noConversion"/>
  </si>
  <si>
    <t>000336</t>
    <phoneticPr fontId="1" type="noConversion"/>
  </si>
  <si>
    <t>农银研究精选灵活配置混合</t>
    <phoneticPr fontId="1" type="noConversion"/>
  </si>
  <si>
    <t>赵诣</t>
    <phoneticPr fontId="1" type="noConversion"/>
  </si>
  <si>
    <t>005421</t>
    <phoneticPr fontId="1" type="noConversion"/>
  </si>
  <si>
    <t>中欧嘉泽灵活配置</t>
    <phoneticPr fontId="1" type="noConversion"/>
  </si>
  <si>
    <t>许文星</t>
    <phoneticPr fontId="1" type="noConversion"/>
  </si>
  <si>
    <t>002307</t>
    <phoneticPr fontId="1" type="noConversion"/>
  </si>
  <si>
    <t>银华多元视野灵活配置</t>
    <phoneticPr fontId="1" type="noConversion"/>
  </si>
  <si>
    <t>贾鹏</t>
    <phoneticPr fontId="1" type="noConversion"/>
  </si>
  <si>
    <t>000584</t>
    <phoneticPr fontId="1" type="noConversion"/>
  </si>
  <si>
    <t>新华鑫益灵活配置</t>
    <phoneticPr fontId="1" type="noConversion"/>
  </si>
  <si>
    <t>栾超</t>
    <phoneticPr fontId="1" type="noConversion"/>
  </si>
  <si>
    <t>仓位控制频率变化高</t>
    <phoneticPr fontId="1" type="noConversion"/>
  </si>
  <si>
    <t>180012</t>
    <phoneticPr fontId="1" type="noConversion"/>
  </si>
  <si>
    <t>银华富裕主题混合</t>
    <phoneticPr fontId="1" type="noConversion"/>
  </si>
  <si>
    <t>焦巍</t>
    <phoneticPr fontId="1" type="noConversion"/>
  </si>
  <si>
    <t>660010</t>
    <phoneticPr fontId="1" type="noConversion"/>
  </si>
  <si>
    <t>农银汇理策略精选混合</t>
    <phoneticPr fontId="1" type="noConversion"/>
  </si>
  <si>
    <t>张锋</t>
    <phoneticPr fontId="1" type="noConversion"/>
  </si>
  <si>
    <t>002555</t>
    <phoneticPr fontId="1" type="noConversion"/>
  </si>
  <si>
    <t>博时沪港深优质企业灵活配置</t>
    <phoneticPr fontId="1" type="noConversion"/>
  </si>
  <si>
    <t>王俊</t>
    <phoneticPr fontId="1" type="noConversion"/>
  </si>
  <si>
    <t>001714</t>
    <phoneticPr fontId="1" type="noConversion"/>
  </si>
  <si>
    <t>工银瑞信文体产业股票</t>
    <phoneticPr fontId="1" type="noConversion"/>
  </si>
  <si>
    <t>袁芳</t>
    <phoneticPr fontId="1" type="noConversion"/>
  </si>
  <si>
    <t>260108</t>
    <phoneticPr fontId="1" type="noConversion"/>
  </si>
  <si>
    <t>景顺长城新兴成长混合</t>
    <phoneticPr fontId="1" type="noConversion"/>
  </si>
  <si>
    <t>刘彦春</t>
    <phoneticPr fontId="1" type="noConversion"/>
  </si>
  <si>
    <t>161903</t>
    <phoneticPr fontId="1" type="noConversion"/>
  </si>
  <si>
    <t>万家行业优选混合</t>
    <phoneticPr fontId="1" type="noConversion"/>
  </si>
  <si>
    <t>黄兴亮</t>
    <phoneticPr fontId="1" type="noConversion"/>
  </si>
  <si>
    <t>进攻性基金</t>
    <phoneticPr fontId="1" type="noConversion"/>
  </si>
  <si>
    <t>2020/12/20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</si>
</sst>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1"/>
      <name val="黑体"/>
      <family val="3"/>
      <charset val="134"/>
    </font>
    <font>
      <sz val="16"/>
      <color theme="1"/>
      <name val="黑体"/>
      <family val="3"/>
      <charset val="134"/>
    </font>
    <font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0" xfId="0" applyFont="1" applyFill="1" applyAlignment="1">
      <alignment horizontal="center"/>
    </xf>
    <xf numFmtId="31" fontId="2" fillId="2" borderId="0" xfId="0" quotePrefix="1" applyNumberFormat="1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0" fontId="3" fillId="2" borderId="0" xfId="0" applyFont="1" applyFill="1" applyAlignment="1"/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/>
    </xf>
    <xf numFmtId="0" fontId="0" fillId="4" borderId="0" xfId="0" applyFill="1"/>
    <xf numFmtId="0" fontId="2" fillId="0" borderId="0" xfId="0" applyFont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5" fillId="7" borderId="0" xfId="0" applyFont="1" applyFill="1"/>
    <xf numFmtId="10" fontId="0" fillId="0" borderId="0" xfId="0" applyNumberFormat="1"/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0" borderId="0" xfId="0" applyFont="1" applyAlignment="1">
      <alignment horizontal="left" wrapText="1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quotePrefix="1"/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今年收益率</c:v>
          </c:tx>
          <c:marker>
            <c:symbol val="none"/>
          </c:marker>
          <c:cat>
            <c:strRef>
              <c:f>动平衡策略!$B$5:$B$26</c:f>
              <c:strCache>
                <c:ptCount val="18"/>
                <c:pt idx="0">
                  <c:v>2020/5/17</c:v>
                </c:pt>
                <c:pt idx="1">
                  <c:v>2020/6/26</c:v>
                </c:pt>
                <c:pt idx="2">
                  <c:v>2020/7/12</c:v>
                </c:pt>
                <c:pt idx="3">
                  <c:v>2020/7/26</c:v>
                </c:pt>
                <c:pt idx="4">
                  <c:v>2020/8/16</c:v>
                </c:pt>
                <c:pt idx="5">
                  <c:v>2020/8/23</c:v>
                </c:pt>
                <c:pt idx="6">
                  <c:v>2020/9/20</c:v>
                </c:pt>
                <c:pt idx="7">
                  <c:v>2020/9/26</c:v>
                </c:pt>
                <c:pt idx="8">
                  <c:v>2020/9/28</c:v>
                </c:pt>
                <c:pt idx="9">
                  <c:v>2020/10/25</c:v>
                </c:pt>
                <c:pt idx="10">
                  <c:v>2020/10/29</c:v>
                </c:pt>
                <c:pt idx="11">
                  <c:v>2020/11/7</c:v>
                </c:pt>
                <c:pt idx="12">
                  <c:v>2020/11/12</c:v>
                </c:pt>
                <c:pt idx="13">
                  <c:v>2020/11/15</c:v>
                </c:pt>
                <c:pt idx="14">
                  <c:v>2020/11/21</c:v>
                </c:pt>
                <c:pt idx="15">
                  <c:v>2020/11/29</c:v>
                </c:pt>
                <c:pt idx="16">
                  <c:v>2020/12/06</c:v>
                </c:pt>
                <c:pt idx="17">
                  <c:v>2020/12/20</c:v>
                </c:pt>
              </c:strCache>
            </c:strRef>
          </c:cat>
          <c:val>
            <c:numRef>
              <c:f>动平衡策略!$E$5:$E$22</c:f>
              <c:numCache>
                <c:formatCode>0.00%</c:formatCode>
                <c:ptCount val="18"/>
                <c:pt idx="0">
                  <c:v>1.67E-2</c:v>
                </c:pt>
                <c:pt idx="1">
                  <c:v>2.9899999999999999E-2</c:v>
                </c:pt>
                <c:pt idx="2">
                  <c:v>5.2999999999999999E-2</c:v>
                </c:pt>
                <c:pt idx="3">
                  <c:v>5.8700000000000002E-2</c:v>
                </c:pt>
                <c:pt idx="4">
                  <c:v>5.9200000000000003E-2</c:v>
                </c:pt>
                <c:pt idx="5">
                  <c:v>6.3799999999999996E-2</c:v>
                </c:pt>
                <c:pt idx="6">
                  <c:v>6.3200000000000006E-2</c:v>
                </c:pt>
                <c:pt idx="7">
                  <c:v>6.54E-2</c:v>
                </c:pt>
                <c:pt idx="8">
                  <c:v>6.0199999999999997E-2</c:v>
                </c:pt>
                <c:pt idx="9">
                  <c:v>7.1900000000000006E-2</c:v>
                </c:pt>
                <c:pt idx="10">
                  <c:v>6.6699999999999995E-2</c:v>
                </c:pt>
                <c:pt idx="11">
                  <c:v>7.6100000000000001E-2</c:v>
                </c:pt>
                <c:pt idx="12">
                  <c:v>8.1600000000000006E-2</c:v>
                </c:pt>
                <c:pt idx="13">
                  <c:v>8.0799999999999997E-2</c:v>
                </c:pt>
                <c:pt idx="14">
                  <c:v>7.9399999999999998E-2</c:v>
                </c:pt>
                <c:pt idx="15">
                  <c:v>7.8E-2</c:v>
                </c:pt>
                <c:pt idx="16">
                  <c:v>8.4099999999999994E-2</c:v>
                </c:pt>
                <c:pt idx="17">
                  <c:v>8.4500000000000006E-2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3-4157-8834-0BCD530F2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67360"/>
        <c:axId val="136049408"/>
      </c:lineChart>
      <c:catAx>
        <c:axId val="12596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eaVert"/>
          <a:lstStyle/>
          <a:p>
            <a:pPr>
              <a:defRPr/>
            </a:pPr>
            <a:endParaRPr lang="zh-CN"/>
          </a:p>
        </c:txPr>
        <c:crossAx val="136049408"/>
        <c:crosses val="autoZero"/>
        <c:auto val="1"/>
        <c:lblAlgn val="ctr"/>
        <c:lblOffset val="100"/>
        <c:noMultiLvlLbl val="0"/>
      </c:catAx>
      <c:valAx>
        <c:axId val="13604940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5967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今年收益率</c:v>
          </c:tx>
          <c:marker>
            <c:symbol val="none"/>
          </c:marker>
          <c:cat>
            <c:strRef>
              <c:f>日定投策略!$A$5:$A$27</c:f>
              <c:strCache>
                <c:ptCount val="9"/>
                <c:pt idx="0">
                  <c:v>2020/10/29</c:v>
                </c:pt>
                <c:pt idx="1">
                  <c:v>2020/11/07</c:v>
                </c:pt>
                <c:pt idx="2">
                  <c:v>2020/11/10</c:v>
                </c:pt>
                <c:pt idx="3">
                  <c:v>2020/11/12</c:v>
                </c:pt>
                <c:pt idx="4">
                  <c:v>2020/11/15</c:v>
                </c:pt>
                <c:pt idx="5">
                  <c:v>2020/11/21</c:v>
                </c:pt>
                <c:pt idx="6">
                  <c:v>2020/11/29</c:v>
                </c:pt>
                <c:pt idx="7">
                  <c:v>2020/12/06</c:v>
                </c:pt>
                <c:pt idx="8">
                  <c:v>2020/12/20</c:v>
                </c:pt>
              </c:strCache>
            </c:strRef>
          </c:cat>
          <c:val>
            <c:numRef>
              <c:f>日定投策略!$D$4:$D$27</c:f>
              <c:numCache>
                <c:formatCode>0.00%</c:formatCode>
                <c:ptCount val="24"/>
                <c:pt idx="0">
                  <c:v>0</c:v>
                </c:pt>
                <c:pt idx="1">
                  <c:v>-3.0000000000000001E-3</c:v>
                </c:pt>
                <c:pt idx="2">
                  <c:v>3.0000000000000001E-3</c:v>
                </c:pt>
                <c:pt idx="3">
                  <c:v>1.1999999999999999E-3</c:v>
                </c:pt>
                <c:pt idx="4">
                  <c:v>5.1000000000000004E-3</c:v>
                </c:pt>
                <c:pt idx="5">
                  <c:v>4.4999999999999997E-3</c:v>
                </c:pt>
                <c:pt idx="6">
                  <c:v>1.8E-3</c:v>
                </c:pt>
                <c:pt idx="7">
                  <c:v>4.4000000000000003E-3</c:v>
                </c:pt>
                <c:pt idx="8">
                  <c:v>7.3000000000000001E-3</c:v>
                </c:pt>
                <c:pt idx="9">
                  <c:v>6.8999999999999999E-3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7-4238-8B1A-FAB988219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67360"/>
        <c:axId val="136049408"/>
      </c:lineChart>
      <c:catAx>
        <c:axId val="12596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eaVert"/>
          <a:lstStyle/>
          <a:p>
            <a:pPr>
              <a:defRPr/>
            </a:pPr>
            <a:endParaRPr lang="zh-CN"/>
          </a:p>
        </c:txPr>
        <c:crossAx val="136049408"/>
        <c:crosses val="autoZero"/>
        <c:auto val="1"/>
        <c:lblAlgn val="ctr"/>
        <c:lblOffset val="100"/>
        <c:noMultiLvlLbl val="0"/>
      </c:catAx>
      <c:valAx>
        <c:axId val="13604940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5967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66674</xdr:colOff>
      <xdr:row>0</xdr:row>
      <xdr:rowOff>123825</xdr:rowOff>
    </xdr:from>
    <xdr:to>
      <xdr:col>10</xdr:col>
      <xdr:colOff>2870200</xdr:colOff>
      <xdr:row>11</xdr:row>
      <xdr:rowOff>127000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130174</xdr:colOff>
      <xdr:row>0</xdr:row>
      <xdr:rowOff>85725</xdr:rowOff>
    </xdr:from>
    <xdr:to>
      <xdr:col>10</xdr:col>
      <xdr:colOff>25400</xdr:colOff>
      <xdr:row>11</xdr:row>
      <xdr:rowOff>88900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EA48FDF-88FB-4FE0-9CAA-591832A03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90" zoomScaleNormal="90" workbookViewId="0">
      <selection activeCell="M10" sqref="M10"/>
    </sheetView>
  </sheetViews>
  <sheetFormatPr defaultRowHeight="14" x14ac:dyDescent="0.25"/>
  <cols>
    <col min="2" max="5" width="12.6328125" customWidth="1"/>
    <col min="6" max="6" width="12.453125" bestFit="1" customWidth="1"/>
    <col min="7" max="7" width="9.26953125" bestFit="1" customWidth="1"/>
    <col min="8" max="8" width="13" customWidth="1"/>
    <col min="11" max="11" width="51.36328125" bestFit="1" customWidth="1"/>
    <col min="13" max="13" width="5.6328125" customWidth="1"/>
    <col min="15" max="16" width="13" bestFit="1" customWidth="1"/>
  </cols>
  <sheetData>
    <row r="1" spans="1:12" ht="27" customHeight="1" x14ac:dyDescent="0.25">
      <c r="A1" s="7" t="s">
        <v>42</v>
      </c>
      <c r="B1" s="25" t="s">
        <v>5</v>
      </c>
      <c r="C1" s="25"/>
      <c r="D1" s="25"/>
      <c r="E1" s="25"/>
    </row>
    <row r="2" spans="1:12" x14ac:dyDescent="0.25">
      <c r="A2" s="10">
        <v>44425.45</v>
      </c>
      <c r="B2" s="5" t="s">
        <v>8</v>
      </c>
      <c r="C2" s="26">
        <v>104552.73</v>
      </c>
      <c r="D2" s="26"/>
      <c r="E2" s="26"/>
    </row>
    <row r="3" spans="1:12" x14ac:dyDescent="0.25">
      <c r="A3" s="10">
        <v>23557.99</v>
      </c>
      <c r="B3" s="5" t="s">
        <v>9</v>
      </c>
      <c r="C3" s="9">
        <f>SUM(A2:A14)</f>
        <v>67983.44</v>
      </c>
      <c r="D3" s="5" t="s">
        <v>10</v>
      </c>
      <c r="E3" s="6">
        <f>C2-E2-C3</f>
        <v>36569.289999999994</v>
      </c>
    </row>
    <row r="4" spans="1:12" x14ac:dyDescent="0.25">
      <c r="A4" s="10"/>
      <c r="B4" s="1" t="s">
        <v>1</v>
      </c>
      <c r="C4" s="18" t="s">
        <v>2</v>
      </c>
      <c r="D4" s="18" t="s">
        <v>51</v>
      </c>
      <c r="E4" s="4" t="s">
        <v>0</v>
      </c>
    </row>
    <row r="5" spans="1:12" x14ac:dyDescent="0.25">
      <c r="A5" s="10"/>
      <c r="B5" s="2" t="s">
        <v>3</v>
      </c>
      <c r="C5" s="17">
        <v>2342.16</v>
      </c>
      <c r="D5" s="17"/>
      <c r="E5" s="3">
        <v>1.67E-2</v>
      </c>
    </row>
    <row r="6" spans="1:12" x14ac:dyDescent="0.25">
      <c r="A6" s="10"/>
      <c r="B6" s="2" t="s">
        <v>4</v>
      </c>
      <c r="C6" s="17">
        <v>4544.74</v>
      </c>
      <c r="D6" s="17"/>
      <c r="E6" s="3">
        <v>2.9899999999999999E-2</v>
      </c>
    </row>
    <row r="7" spans="1:12" x14ac:dyDescent="0.25">
      <c r="A7" s="10"/>
      <c r="B7" s="2" t="s">
        <v>6</v>
      </c>
      <c r="C7" s="17">
        <v>7855.73</v>
      </c>
      <c r="D7" s="17"/>
      <c r="E7" s="3">
        <v>5.2999999999999999E-2</v>
      </c>
    </row>
    <row r="8" spans="1:12" x14ac:dyDescent="0.25">
      <c r="A8" s="10"/>
      <c r="B8" s="2" t="s">
        <v>7</v>
      </c>
      <c r="C8" s="17">
        <v>7626.98</v>
      </c>
      <c r="D8" s="17"/>
      <c r="E8" s="3">
        <v>5.8700000000000002E-2</v>
      </c>
    </row>
    <row r="9" spans="1:12" x14ac:dyDescent="0.25">
      <c r="A9" s="10"/>
      <c r="B9" s="2" t="s">
        <v>11</v>
      </c>
      <c r="C9" s="17">
        <v>9451.59</v>
      </c>
      <c r="D9" s="17"/>
      <c r="E9" s="3">
        <v>5.9200000000000003E-2</v>
      </c>
    </row>
    <row r="10" spans="1:12" x14ac:dyDescent="0.25">
      <c r="A10" s="10"/>
      <c r="B10" s="2" t="s">
        <v>12</v>
      </c>
      <c r="C10" s="17">
        <v>9607.81</v>
      </c>
      <c r="D10" s="17"/>
      <c r="E10" s="3">
        <v>6.3799999999999996E-2</v>
      </c>
    </row>
    <row r="11" spans="1:12" x14ac:dyDescent="0.25">
      <c r="A11" s="10"/>
      <c r="B11" s="2" t="s">
        <v>14</v>
      </c>
      <c r="C11" s="17">
        <v>10187.49</v>
      </c>
      <c r="D11" s="17"/>
      <c r="E11" s="3">
        <v>6.3200000000000006E-2</v>
      </c>
    </row>
    <row r="12" spans="1:12" x14ac:dyDescent="0.25">
      <c r="A12" s="10"/>
      <c r="B12" s="2" t="s">
        <v>40</v>
      </c>
      <c r="C12" s="17">
        <v>9719.7099999999991</v>
      </c>
      <c r="D12" s="17"/>
      <c r="E12" s="3">
        <v>6.54E-2</v>
      </c>
    </row>
    <row r="13" spans="1:12" ht="14" customHeight="1" x14ac:dyDescent="0.25">
      <c r="A13" s="10"/>
      <c r="B13" s="2" t="s">
        <v>41</v>
      </c>
      <c r="C13" s="17">
        <v>9118.0400000000009</v>
      </c>
      <c r="D13" s="17"/>
      <c r="E13" s="3">
        <v>6.0199999999999997E-2</v>
      </c>
      <c r="F13" s="8" t="s">
        <v>51</v>
      </c>
      <c r="G13" s="7" t="s">
        <v>43</v>
      </c>
      <c r="H13" s="7" t="s">
        <v>44</v>
      </c>
      <c r="I13" s="7" t="s">
        <v>13</v>
      </c>
      <c r="J13" s="7" t="s">
        <v>15</v>
      </c>
      <c r="K13" s="8" t="s">
        <v>52</v>
      </c>
    </row>
    <row r="14" spans="1:12" ht="14" customHeight="1" x14ac:dyDescent="0.25">
      <c r="A14" s="10"/>
      <c r="B14" s="2" t="s">
        <v>47</v>
      </c>
      <c r="C14" s="17">
        <v>10050.39</v>
      </c>
      <c r="D14" s="17"/>
      <c r="E14" s="3">
        <v>7.1900000000000006E-2</v>
      </c>
      <c r="F14" s="13">
        <f>$K$22</f>
        <v>26.004658430232556</v>
      </c>
      <c r="G14">
        <v>16</v>
      </c>
      <c r="H14">
        <v>26.5</v>
      </c>
      <c r="I14">
        <f>E3/C2</f>
        <v>0.34976886782391997</v>
      </c>
      <c r="J14">
        <f>IF(((H14-F14)/(H14-G14))&lt;0,0,((H14-F14)/(H14-G14)))*0.7+0.3</f>
        <v>0.33302277131782954</v>
      </c>
      <c r="K14" s="14">
        <f>(C2*J14-E3)*J14</f>
        <v>-583.07295464713616</v>
      </c>
      <c r="L14" s="11"/>
    </row>
    <row r="15" spans="1:12" ht="14" customHeight="1" x14ac:dyDescent="0.25">
      <c r="A15" s="10"/>
      <c r="B15" s="2" t="s">
        <v>53</v>
      </c>
      <c r="C15" s="17">
        <v>10782.94</v>
      </c>
      <c r="D15" s="17">
        <v>25.67</v>
      </c>
      <c r="E15" s="3">
        <v>6.6699999999999995E-2</v>
      </c>
      <c r="F15" s="27" t="s">
        <v>46</v>
      </c>
      <c r="G15" s="27"/>
      <c r="H15" s="27"/>
      <c r="I15" s="27"/>
      <c r="J15" s="27"/>
      <c r="K15" s="27"/>
    </row>
    <row r="16" spans="1:12" ht="14" customHeight="1" x14ac:dyDescent="0.25">
      <c r="A16" s="10"/>
      <c r="B16" s="2" t="s">
        <v>54</v>
      </c>
      <c r="C16" s="17">
        <v>12238.76</v>
      </c>
      <c r="D16" s="17">
        <v>25.93</v>
      </c>
      <c r="E16" s="3">
        <v>7.6100000000000001E-2</v>
      </c>
      <c r="F16" s="27"/>
      <c r="G16" s="27"/>
      <c r="H16" s="27"/>
      <c r="I16" s="27"/>
      <c r="J16" s="27"/>
      <c r="K16" s="27"/>
    </row>
    <row r="17" spans="1:11" ht="14" customHeight="1" x14ac:dyDescent="0.25">
      <c r="A17" s="10"/>
      <c r="B17" s="2" t="s">
        <v>57</v>
      </c>
      <c r="C17" s="19">
        <v>12181.32</v>
      </c>
      <c r="D17" s="19">
        <v>25.93</v>
      </c>
      <c r="E17" s="3">
        <v>8.1600000000000006E-2</v>
      </c>
      <c r="F17" s="27"/>
      <c r="G17" s="27"/>
      <c r="H17" s="27"/>
      <c r="I17" s="27"/>
      <c r="J17" s="27"/>
      <c r="K17" s="27"/>
    </row>
    <row r="18" spans="1:11" ht="14" customHeight="1" x14ac:dyDescent="0.25">
      <c r="A18" s="10"/>
      <c r="B18" s="2" t="s">
        <v>58</v>
      </c>
      <c r="C18" s="20">
        <v>12095.71</v>
      </c>
      <c r="D18" s="20">
        <v>25.81</v>
      </c>
      <c r="E18" s="3">
        <v>8.0799999999999997E-2</v>
      </c>
      <c r="F18" s="27"/>
      <c r="G18" s="27"/>
      <c r="H18" s="27"/>
      <c r="I18" s="27"/>
      <c r="J18" s="27"/>
      <c r="K18" s="27"/>
    </row>
    <row r="19" spans="1:11" ht="14" customHeight="1" x14ac:dyDescent="0.25">
      <c r="A19" s="10"/>
      <c r="B19" s="2" t="s">
        <v>59</v>
      </c>
      <c r="C19" s="21">
        <v>12631.63</v>
      </c>
      <c r="D19" s="21">
        <v>26.14</v>
      </c>
      <c r="E19" s="3">
        <v>7.9399999999999998E-2</v>
      </c>
      <c r="F19" s="27"/>
      <c r="G19" s="27"/>
      <c r="H19" s="27"/>
      <c r="I19" s="27"/>
      <c r="J19" s="27"/>
      <c r="K19" s="27"/>
    </row>
    <row r="20" spans="1:11" ht="14" customHeight="1" x14ac:dyDescent="0.25">
      <c r="A20" s="10"/>
      <c r="B20" s="2" t="s">
        <v>60</v>
      </c>
      <c r="C20" s="22">
        <v>12200.58</v>
      </c>
      <c r="D20" s="22">
        <v>25.89</v>
      </c>
      <c r="E20" s="3">
        <v>7.8E-2</v>
      </c>
      <c r="F20" s="27"/>
      <c r="G20" s="27"/>
      <c r="H20" s="27"/>
      <c r="I20" s="27"/>
      <c r="J20" s="27"/>
      <c r="K20" s="27"/>
    </row>
    <row r="21" spans="1:11" ht="14" customHeight="1" x14ac:dyDescent="0.25">
      <c r="A21" s="10"/>
      <c r="B21" s="2" t="s">
        <v>61</v>
      </c>
      <c r="C21" s="23">
        <v>13144.84</v>
      </c>
      <c r="D21" s="23">
        <v>26.4</v>
      </c>
      <c r="E21" s="3">
        <v>8.4099999999999994E-2</v>
      </c>
      <c r="F21" t="s">
        <v>49</v>
      </c>
      <c r="G21" t="s">
        <v>50</v>
      </c>
      <c r="I21" t="s">
        <v>48</v>
      </c>
      <c r="J21" t="s">
        <v>50</v>
      </c>
      <c r="K21" t="s">
        <v>51</v>
      </c>
    </row>
    <row r="22" spans="1:11" x14ac:dyDescent="0.25">
      <c r="A22" s="10"/>
      <c r="B22" s="2" t="s">
        <v>155</v>
      </c>
      <c r="C22" s="24">
        <v>13208.35</v>
      </c>
      <c r="D22" s="24">
        <v>26</v>
      </c>
      <c r="E22" s="3">
        <v>8.4500000000000006E-2</v>
      </c>
      <c r="F22" s="12">
        <v>2343</v>
      </c>
      <c r="G22" s="12">
        <v>33.36</v>
      </c>
      <c r="H22" s="12"/>
      <c r="I22" s="12">
        <v>1785</v>
      </c>
      <c r="J22" s="12">
        <v>16.350000000000001</v>
      </c>
      <c r="K22" s="12">
        <f>(F22*G22+I22*J22)/(F22+I22)</f>
        <v>26.004658430232556</v>
      </c>
    </row>
  </sheetData>
  <sortState xmlns:xlrd2="http://schemas.microsoft.com/office/spreadsheetml/2017/richdata2" ref="B5:B28">
    <sortCondition ref="B5"/>
  </sortState>
  <mergeCells count="3">
    <mergeCell ref="B1:E1"/>
    <mergeCell ref="C2:E2"/>
    <mergeCell ref="F15:K2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2E28-2B0A-4104-8C2C-76EB54B87C60}">
  <dimension ref="A1:K20"/>
  <sheetViews>
    <sheetView workbookViewId="0">
      <selection activeCell="B2" sqref="B2:D2"/>
    </sheetView>
  </sheetViews>
  <sheetFormatPr defaultRowHeight="14" x14ac:dyDescent="0.25"/>
  <cols>
    <col min="1" max="4" width="12.6328125" customWidth="1"/>
    <col min="5" max="5" width="9.26953125" bestFit="1" customWidth="1"/>
    <col min="6" max="7" width="13" customWidth="1"/>
    <col min="10" max="10" width="41.6328125" bestFit="1" customWidth="1"/>
    <col min="12" max="12" width="5.6328125" customWidth="1"/>
    <col min="14" max="15" width="13" bestFit="1" customWidth="1"/>
  </cols>
  <sheetData>
    <row r="1" spans="1:11" ht="27" customHeight="1" x14ac:dyDescent="0.25">
      <c r="A1" s="25" t="s">
        <v>5</v>
      </c>
      <c r="B1" s="25"/>
      <c r="C1" s="25"/>
      <c r="D1" s="25"/>
    </row>
    <row r="2" spans="1:11" x14ac:dyDescent="0.25">
      <c r="A2" s="5" t="s">
        <v>8</v>
      </c>
      <c r="B2" s="26">
        <v>10450.040000000001</v>
      </c>
      <c r="C2" s="26"/>
      <c r="D2" s="26"/>
    </row>
    <row r="3" spans="1:11" x14ac:dyDescent="0.25">
      <c r="A3" s="1" t="s">
        <v>1</v>
      </c>
      <c r="B3" s="29" t="s">
        <v>2</v>
      </c>
      <c r="C3" s="29"/>
      <c r="D3" s="4" t="s">
        <v>0</v>
      </c>
    </row>
    <row r="4" spans="1:11" x14ac:dyDescent="0.25">
      <c r="A4" s="2" t="s">
        <v>45</v>
      </c>
      <c r="B4" s="28">
        <v>-1.49</v>
      </c>
      <c r="C4" s="28"/>
      <c r="D4" s="3">
        <v>0</v>
      </c>
    </row>
    <row r="5" spans="1:11" x14ac:dyDescent="0.25">
      <c r="A5" s="2" t="s">
        <v>53</v>
      </c>
      <c r="B5" s="28">
        <v>-0.06</v>
      </c>
      <c r="C5" s="28"/>
      <c r="D5" s="3">
        <v>-3.0000000000000001E-3</v>
      </c>
    </row>
    <row r="6" spans="1:11" x14ac:dyDescent="0.25">
      <c r="A6" s="2" t="s">
        <v>55</v>
      </c>
      <c r="B6" s="28">
        <v>8.3000000000000007</v>
      </c>
      <c r="C6" s="28"/>
      <c r="D6" s="3">
        <v>3.0000000000000001E-3</v>
      </c>
    </row>
    <row r="7" spans="1:11" x14ac:dyDescent="0.25">
      <c r="A7" s="2" t="s">
        <v>56</v>
      </c>
      <c r="B7" s="28">
        <v>14.52</v>
      </c>
      <c r="C7" s="28"/>
      <c r="D7" s="3">
        <v>1.1999999999999999E-3</v>
      </c>
    </row>
    <row r="8" spans="1:11" x14ac:dyDescent="0.25">
      <c r="A8" s="2" t="s">
        <v>57</v>
      </c>
      <c r="B8" s="28">
        <v>9.6300000000000008</v>
      </c>
      <c r="C8" s="28"/>
      <c r="D8" s="3">
        <v>5.1000000000000004E-3</v>
      </c>
    </row>
    <row r="9" spans="1:11" x14ac:dyDescent="0.25">
      <c r="A9" s="2" t="s">
        <v>58</v>
      </c>
      <c r="B9" s="28">
        <v>4.66</v>
      </c>
      <c r="C9" s="28"/>
      <c r="D9" s="3">
        <v>4.4999999999999997E-3</v>
      </c>
    </row>
    <row r="10" spans="1:11" x14ac:dyDescent="0.25">
      <c r="A10" s="2" t="s">
        <v>59</v>
      </c>
      <c r="B10" s="28">
        <v>14.48</v>
      </c>
      <c r="C10" s="28"/>
      <c r="D10" s="3">
        <v>1.8E-3</v>
      </c>
    </row>
    <row r="11" spans="1:11" x14ac:dyDescent="0.25">
      <c r="A11" s="2" t="s">
        <v>60</v>
      </c>
      <c r="B11" s="28">
        <v>24.22</v>
      </c>
      <c r="C11" s="28"/>
      <c r="D11" s="3">
        <v>4.4000000000000003E-3</v>
      </c>
    </row>
    <row r="12" spans="1:11" ht="14" customHeight="1" x14ac:dyDescent="0.25">
      <c r="A12" s="2" t="s">
        <v>61</v>
      </c>
      <c r="B12" s="28">
        <v>51.62</v>
      </c>
      <c r="C12" s="28"/>
      <c r="D12" s="3">
        <v>7.3000000000000001E-3</v>
      </c>
    </row>
    <row r="13" spans="1:11" ht="14" customHeight="1" x14ac:dyDescent="0.25">
      <c r="A13" s="2" t="s">
        <v>155</v>
      </c>
      <c r="B13" s="28">
        <v>72.09</v>
      </c>
      <c r="C13" s="28"/>
      <c r="D13" s="3">
        <v>6.8999999999999999E-3</v>
      </c>
      <c r="K13" s="11"/>
    </row>
    <row r="14" spans="1:11" ht="14" customHeight="1" x14ac:dyDescent="0.25">
      <c r="A14" s="2"/>
      <c r="B14" s="28"/>
      <c r="C14" s="28"/>
      <c r="D14" s="3"/>
    </row>
    <row r="15" spans="1:11" ht="14" customHeight="1" x14ac:dyDescent="0.25">
      <c r="A15" s="2"/>
      <c r="B15" s="28"/>
      <c r="C15" s="28"/>
      <c r="D15" s="3"/>
    </row>
    <row r="16" spans="1:11" ht="14" customHeight="1" x14ac:dyDescent="0.25">
      <c r="A16" s="2"/>
      <c r="B16" s="28"/>
      <c r="C16" s="28"/>
      <c r="D16" s="3"/>
    </row>
    <row r="17" spans="1:4" ht="14" customHeight="1" x14ac:dyDescent="0.25">
      <c r="A17" s="2"/>
      <c r="B17" s="28"/>
      <c r="C17" s="28"/>
      <c r="D17" s="3"/>
    </row>
    <row r="18" spans="1:4" ht="14" customHeight="1" x14ac:dyDescent="0.25">
      <c r="A18" s="2"/>
      <c r="B18" s="28"/>
      <c r="C18" s="28"/>
      <c r="D18" s="3"/>
    </row>
    <row r="19" spans="1:4" ht="14" customHeight="1" x14ac:dyDescent="0.25">
      <c r="A19" s="2"/>
      <c r="B19" s="28"/>
      <c r="C19" s="28"/>
      <c r="D19" s="3"/>
    </row>
    <row r="20" spans="1:4" ht="14" customHeight="1" x14ac:dyDescent="0.25"/>
  </sheetData>
  <mergeCells count="19">
    <mergeCell ref="A1:D1"/>
    <mergeCell ref="B3:C3"/>
    <mergeCell ref="B4:C4"/>
    <mergeCell ref="B6:C6"/>
    <mergeCell ref="B19:C19"/>
    <mergeCell ref="B2:D2"/>
    <mergeCell ref="B14:C14"/>
    <mergeCell ref="B15:C15"/>
    <mergeCell ref="B16:C16"/>
    <mergeCell ref="B17:C17"/>
    <mergeCell ref="B18:C18"/>
    <mergeCell ref="B8:C8"/>
    <mergeCell ref="B9:C9"/>
    <mergeCell ref="B10:C10"/>
    <mergeCell ref="B11:C11"/>
    <mergeCell ref="B12:C12"/>
    <mergeCell ref="B13:C13"/>
    <mergeCell ref="B5:C5"/>
    <mergeCell ref="B7:C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7E77-67F2-482F-B51B-B693BEB5C855}">
  <dimension ref="A1:G31"/>
  <sheetViews>
    <sheetView workbookViewId="0">
      <selection activeCell="L21" sqref="L21"/>
    </sheetView>
  </sheetViews>
  <sheetFormatPr defaultRowHeight="14" x14ac:dyDescent="0.25"/>
  <sheetData>
    <row r="1" spans="1:7" x14ac:dyDescent="0.25">
      <c r="A1" s="15" t="s">
        <v>62</v>
      </c>
      <c r="B1" s="15" t="s">
        <v>63</v>
      </c>
      <c r="C1" s="15" t="s">
        <v>64</v>
      </c>
      <c r="D1" s="15" t="s">
        <v>65</v>
      </c>
      <c r="E1" s="15" t="s">
        <v>66</v>
      </c>
      <c r="F1" s="15" t="s">
        <v>67</v>
      </c>
      <c r="G1" s="15"/>
    </row>
    <row r="2" spans="1:7" x14ac:dyDescent="0.25">
      <c r="A2">
        <v>10</v>
      </c>
      <c r="B2" s="30" t="s">
        <v>68</v>
      </c>
      <c r="C2" t="s">
        <v>69</v>
      </c>
      <c r="D2" t="s">
        <v>70</v>
      </c>
      <c r="E2" s="31">
        <v>44425</v>
      </c>
      <c r="F2" s="16">
        <v>0.90039999999999998</v>
      </c>
    </row>
    <row r="3" spans="1:7" x14ac:dyDescent="0.25">
      <c r="A3">
        <v>6</v>
      </c>
      <c r="B3" s="30" t="s">
        <v>71</v>
      </c>
      <c r="C3" t="s">
        <v>72</v>
      </c>
      <c r="D3" t="s">
        <v>70</v>
      </c>
      <c r="E3" s="31">
        <v>23557</v>
      </c>
      <c r="F3" s="16">
        <v>0.69120000000000004</v>
      </c>
    </row>
    <row r="4" spans="1:7" x14ac:dyDescent="0.25">
      <c r="A4">
        <v>17</v>
      </c>
      <c r="B4" s="30" t="s">
        <v>73</v>
      </c>
      <c r="C4" t="s">
        <v>74</v>
      </c>
      <c r="D4" t="s">
        <v>75</v>
      </c>
      <c r="E4" s="31">
        <v>5162</v>
      </c>
      <c r="F4" s="16">
        <v>0.14810000000000001</v>
      </c>
    </row>
    <row r="5" spans="1:7" x14ac:dyDescent="0.25">
      <c r="A5">
        <v>11</v>
      </c>
      <c r="B5" s="30" t="s">
        <v>76</v>
      </c>
      <c r="C5" t="s">
        <v>77</v>
      </c>
      <c r="D5" t="s">
        <v>78</v>
      </c>
      <c r="E5" s="31">
        <v>4691</v>
      </c>
      <c r="F5" s="16">
        <v>0.64</v>
      </c>
    </row>
    <row r="6" spans="1:7" x14ac:dyDescent="0.25">
      <c r="A6">
        <v>21</v>
      </c>
      <c r="B6" s="30" t="s">
        <v>79</v>
      </c>
      <c r="C6" t="s">
        <v>80</v>
      </c>
      <c r="D6" t="s">
        <v>81</v>
      </c>
      <c r="E6" s="31">
        <v>3930</v>
      </c>
      <c r="F6" s="16">
        <v>4.36E-2</v>
      </c>
    </row>
    <row r="7" spans="1:7" x14ac:dyDescent="0.25">
      <c r="A7">
        <v>23</v>
      </c>
      <c r="B7" s="30" t="s">
        <v>82</v>
      </c>
      <c r="C7" t="s">
        <v>83</v>
      </c>
      <c r="D7" t="s">
        <v>84</v>
      </c>
      <c r="E7" s="31">
        <v>3425</v>
      </c>
      <c r="F7" s="16">
        <v>0.1152</v>
      </c>
    </row>
    <row r="8" spans="1:7" x14ac:dyDescent="0.25">
      <c r="A8">
        <v>26</v>
      </c>
      <c r="B8" s="30" t="s">
        <v>85</v>
      </c>
      <c r="C8" t="s">
        <v>86</v>
      </c>
      <c r="D8" t="s">
        <v>87</v>
      </c>
      <c r="E8" s="31">
        <v>2905</v>
      </c>
      <c r="F8" s="16">
        <v>0.53869999999999996</v>
      </c>
    </row>
    <row r="9" spans="1:7" x14ac:dyDescent="0.25">
      <c r="A9">
        <v>20</v>
      </c>
      <c r="B9" s="30" t="s">
        <v>88</v>
      </c>
      <c r="C9" t="s">
        <v>89</v>
      </c>
      <c r="D9" t="s">
        <v>81</v>
      </c>
      <c r="E9" s="31">
        <v>2315</v>
      </c>
      <c r="F9" s="16">
        <v>0.83460000000000001</v>
      </c>
    </row>
    <row r="10" spans="1:7" x14ac:dyDescent="0.25">
      <c r="A10">
        <v>29</v>
      </c>
      <c r="B10" s="30" t="s">
        <v>90</v>
      </c>
      <c r="C10" t="s">
        <v>91</v>
      </c>
      <c r="D10" t="s">
        <v>92</v>
      </c>
      <c r="E10" s="31">
        <v>2233</v>
      </c>
      <c r="F10" s="16">
        <v>8.3699999999999997E-2</v>
      </c>
    </row>
    <row r="11" spans="1:7" x14ac:dyDescent="0.25">
      <c r="A11">
        <v>24</v>
      </c>
      <c r="B11" s="30" t="s">
        <v>93</v>
      </c>
      <c r="C11" t="s">
        <v>94</v>
      </c>
      <c r="D11" t="s">
        <v>95</v>
      </c>
      <c r="E11" s="31">
        <v>1890</v>
      </c>
      <c r="F11" s="16">
        <v>5.6500000000000002E-2</v>
      </c>
    </row>
    <row r="12" spans="1:7" x14ac:dyDescent="0.25">
      <c r="A12">
        <v>27</v>
      </c>
      <c r="B12" s="30" t="s">
        <v>96</v>
      </c>
      <c r="C12" t="s">
        <v>97</v>
      </c>
      <c r="D12" t="s">
        <v>75</v>
      </c>
      <c r="E12" s="31">
        <v>1556</v>
      </c>
      <c r="F12" s="16">
        <v>0.4289</v>
      </c>
    </row>
    <row r="13" spans="1:7" x14ac:dyDescent="0.25">
      <c r="A13">
        <v>3</v>
      </c>
      <c r="B13" s="30" t="s">
        <v>98</v>
      </c>
      <c r="C13" t="s">
        <v>99</v>
      </c>
      <c r="D13" t="s">
        <v>100</v>
      </c>
      <c r="E13" s="31">
        <v>1301</v>
      </c>
      <c r="F13" s="16">
        <v>0.1487</v>
      </c>
    </row>
    <row r="14" spans="1:7" x14ac:dyDescent="0.25">
      <c r="A14">
        <v>25</v>
      </c>
      <c r="B14" s="30" t="s">
        <v>101</v>
      </c>
      <c r="C14" t="s">
        <v>102</v>
      </c>
      <c r="D14" t="s">
        <v>103</v>
      </c>
      <c r="E14" s="31">
        <v>829</v>
      </c>
      <c r="F14" s="16">
        <v>0.7077</v>
      </c>
    </row>
    <row r="15" spans="1:7" x14ac:dyDescent="0.25">
      <c r="A15">
        <v>1</v>
      </c>
      <c r="B15" s="30" t="s">
        <v>104</v>
      </c>
      <c r="C15" s="16" t="s">
        <v>105</v>
      </c>
      <c r="D15" s="16" t="s">
        <v>106</v>
      </c>
      <c r="E15" s="31">
        <v>813</v>
      </c>
      <c r="F15" s="16">
        <v>0.3054</v>
      </c>
    </row>
    <row r="16" spans="1:7" x14ac:dyDescent="0.25">
      <c r="A16">
        <v>28</v>
      </c>
      <c r="B16" s="30" t="s">
        <v>107</v>
      </c>
      <c r="C16" t="s">
        <v>108</v>
      </c>
      <c r="D16" t="s">
        <v>109</v>
      </c>
      <c r="E16" s="31">
        <v>707</v>
      </c>
      <c r="F16" s="16">
        <v>0.28949999999999998</v>
      </c>
    </row>
    <row r="17" spans="1:7" x14ac:dyDescent="0.25">
      <c r="A17">
        <v>18</v>
      </c>
      <c r="B17" s="30" t="s">
        <v>110</v>
      </c>
      <c r="C17" t="s">
        <v>111</v>
      </c>
      <c r="D17" t="s">
        <v>112</v>
      </c>
      <c r="E17" s="31">
        <v>693</v>
      </c>
      <c r="F17" s="16">
        <v>7.7399999999999997E-2</v>
      </c>
    </row>
    <row r="18" spans="1:7" x14ac:dyDescent="0.25">
      <c r="A18">
        <v>2</v>
      </c>
      <c r="B18" s="30" t="s">
        <v>113</v>
      </c>
      <c r="C18" s="16" t="s">
        <v>114</v>
      </c>
      <c r="D18" s="16" t="s">
        <v>115</v>
      </c>
      <c r="E18" s="31">
        <v>676</v>
      </c>
      <c r="F18" s="16">
        <v>0.13969999999999999</v>
      </c>
    </row>
    <row r="19" spans="1:7" x14ac:dyDescent="0.25">
      <c r="A19">
        <v>19</v>
      </c>
      <c r="B19" s="30" t="s">
        <v>116</v>
      </c>
      <c r="C19" t="s">
        <v>117</v>
      </c>
      <c r="D19" t="s">
        <v>118</v>
      </c>
      <c r="E19" s="31">
        <v>645</v>
      </c>
      <c r="F19" s="16">
        <v>0.61729999999999996</v>
      </c>
    </row>
    <row r="20" spans="1:7" x14ac:dyDescent="0.25">
      <c r="A20">
        <v>22</v>
      </c>
      <c r="B20" s="30" t="s">
        <v>119</v>
      </c>
      <c r="C20" t="s">
        <v>120</v>
      </c>
      <c r="D20" t="s">
        <v>121</v>
      </c>
      <c r="E20" s="31">
        <v>586</v>
      </c>
      <c r="F20" s="16">
        <v>0.29260000000000003</v>
      </c>
    </row>
    <row r="21" spans="1:7" x14ac:dyDescent="0.25">
      <c r="A21">
        <v>7</v>
      </c>
      <c r="B21" s="30" t="s">
        <v>122</v>
      </c>
      <c r="C21" s="16" t="s">
        <v>105</v>
      </c>
      <c r="D21" s="16" t="s">
        <v>106</v>
      </c>
      <c r="E21" s="31">
        <v>488</v>
      </c>
      <c r="F21" s="16">
        <v>0.3054</v>
      </c>
    </row>
    <row r="22" spans="1:7" x14ac:dyDescent="0.25">
      <c r="A22">
        <v>16</v>
      </c>
      <c r="B22" s="30" t="s">
        <v>123</v>
      </c>
      <c r="C22" t="s">
        <v>124</v>
      </c>
      <c r="D22" t="s">
        <v>125</v>
      </c>
      <c r="E22" s="31">
        <v>438</v>
      </c>
      <c r="F22" s="16">
        <v>3.0000000000000001E-3</v>
      </c>
    </row>
    <row r="23" spans="1:7" x14ac:dyDescent="0.25">
      <c r="A23">
        <v>14</v>
      </c>
      <c r="B23" s="30" t="s">
        <v>126</v>
      </c>
      <c r="C23" t="s">
        <v>127</v>
      </c>
      <c r="D23" s="16" t="s">
        <v>128</v>
      </c>
      <c r="E23" s="31">
        <v>326</v>
      </c>
      <c r="F23" s="16">
        <v>0.22270000000000001</v>
      </c>
    </row>
    <row r="24" spans="1:7" x14ac:dyDescent="0.25">
      <c r="A24">
        <v>13</v>
      </c>
      <c r="B24" s="30" t="s">
        <v>129</v>
      </c>
      <c r="C24" t="s">
        <v>130</v>
      </c>
      <c r="D24" s="16" t="s">
        <v>131</v>
      </c>
      <c r="E24" s="31">
        <v>215</v>
      </c>
      <c r="F24" s="16">
        <v>0.66259999999999997</v>
      </c>
    </row>
    <row r="25" spans="1:7" x14ac:dyDescent="0.25">
      <c r="A25">
        <v>30</v>
      </c>
      <c r="B25" s="30" t="s">
        <v>132</v>
      </c>
      <c r="C25" t="s">
        <v>133</v>
      </c>
      <c r="D25" t="s">
        <v>134</v>
      </c>
      <c r="E25" s="31">
        <v>196</v>
      </c>
      <c r="F25" s="16">
        <v>0.56579999999999997</v>
      </c>
      <c r="G25" t="s">
        <v>135</v>
      </c>
    </row>
    <row r="26" spans="1:7" x14ac:dyDescent="0.25">
      <c r="A26">
        <v>12</v>
      </c>
      <c r="B26" s="30" t="s">
        <v>136</v>
      </c>
      <c r="C26" t="s">
        <v>137</v>
      </c>
      <c r="D26" t="s">
        <v>138</v>
      </c>
      <c r="E26" s="31">
        <v>157</v>
      </c>
      <c r="F26" s="16">
        <v>7.3099999999999998E-2</v>
      </c>
    </row>
    <row r="27" spans="1:7" x14ac:dyDescent="0.25">
      <c r="A27">
        <v>15</v>
      </c>
      <c r="B27" s="30" t="s">
        <v>139</v>
      </c>
      <c r="C27" t="s">
        <v>140</v>
      </c>
      <c r="D27" t="s">
        <v>141</v>
      </c>
      <c r="E27" s="31">
        <v>133</v>
      </c>
      <c r="F27" s="16">
        <v>0.26529999999999998</v>
      </c>
    </row>
    <row r="28" spans="1:7" x14ac:dyDescent="0.25">
      <c r="A28">
        <v>4</v>
      </c>
      <c r="B28" s="30" t="s">
        <v>142</v>
      </c>
      <c r="C28" t="s">
        <v>143</v>
      </c>
      <c r="D28" t="s">
        <v>144</v>
      </c>
      <c r="E28" s="31">
        <v>101</v>
      </c>
      <c r="F28" s="16">
        <v>0.98650000000000004</v>
      </c>
    </row>
    <row r="29" spans="1:7" x14ac:dyDescent="0.25">
      <c r="A29">
        <v>9</v>
      </c>
      <c r="B29" s="30" t="s">
        <v>145</v>
      </c>
      <c r="C29" t="s">
        <v>146</v>
      </c>
      <c r="D29" t="s">
        <v>147</v>
      </c>
      <c r="E29" s="31">
        <v>57</v>
      </c>
      <c r="F29" s="16">
        <v>0.76180000000000003</v>
      </c>
    </row>
    <row r="30" spans="1:7" x14ac:dyDescent="0.25">
      <c r="A30">
        <v>8</v>
      </c>
      <c r="B30" s="30" t="s">
        <v>148</v>
      </c>
      <c r="C30" t="s">
        <v>149</v>
      </c>
      <c r="D30" t="s">
        <v>150</v>
      </c>
      <c r="E30" s="31">
        <v>53</v>
      </c>
      <c r="F30" s="16">
        <v>6.59E-2</v>
      </c>
    </row>
    <row r="31" spans="1:7" x14ac:dyDescent="0.25">
      <c r="A31">
        <v>5</v>
      </c>
      <c r="B31" s="30" t="s">
        <v>151</v>
      </c>
      <c r="C31" t="s">
        <v>152</v>
      </c>
      <c r="D31" t="s">
        <v>153</v>
      </c>
      <c r="E31" s="31">
        <v>10</v>
      </c>
      <c r="F31" s="16">
        <v>0.12529999999999999</v>
      </c>
      <c r="G31" t="s">
        <v>154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I17"/>
  <sheetViews>
    <sheetView zoomScaleNormal="100" workbookViewId="0">
      <selection activeCell="G24" sqref="G24"/>
    </sheetView>
  </sheetViews>
  <sheetFormatPr defaultRowHeight="14" x14ac:dyDescent="0.25"/>
  <sheetData>
    <row r="3" spans="3:9" x14ac:dyDescent="0.25">
      <c r="C3" t="s">
        <v>16</v>
      </c>
      <c r="I3" t="s">
        <v>31</v>
      </c>
    </row>
    <row r="4" spans="3:9" x14ac:dyDescent="0.25">
      <c r="C4" t="s">
        <v>17</v>
      </c>
      <c r="I4" t="s">
        <v>32</v>
      </c>
    </row>
    <row r="5" spans="3:9" x14ac:dyDescent="0.25">
      <c r="C5" t="s">
        <v>18</v>
      </c>
      <c r="I5" t="s">
        <v>33</v>
      </c>
    </row>
    <row r="6" spans="3:9" x14ac:dyDescent="0.25">
      <c r="C6" t="s">
        <v>19</v>
      </c>
      <c r="I6" t="s">
        <v>34</v>
      </c>
    </row>
    <row r="7" spans="3:9" x14ac:dyDescent="0.25">
      <c r="C7" t="s">
        <v>20</v>
      </c>
      <c r="I7" t="s">
        <v>35</v>
      </c>
    </row>
    <row r="8" spans="3:9" x14ac:dyDescent="0.25">
      <c r="C8" t="s">
        <v>21</v>
      </c>
      <c r="I8" t="s">
        <v>36</v>
      </c>
    </row>
    <row r="9" spans="3:9" x14ac:dyDescent="0.25">
      <c r="C9" t="s">
        <v>22</v>
      </c>
      <c r="I9" t="s">
        <v>37</v>
      </c>
    </row>
    <row r="10" spans="3:9" x14ac:dyDescent="0.25">
      <c r="C10" t="s">
        <v>23</v>
      </c>
      <c r="I10" t="s">
        <v>38</v>
      </c>
    </row>
    <row r="11" spans="3:9" x14ac:dyDescent="0.25">
      <c r="C11" t="s">
        <v>24</v>
      </c>
      <c r="I11" t="s">
        <v>39</v>
      </c>
    </row>
    <row r="12" spans="3:9" x14ac:dyDescent="0.25">
      <c r="C12" t="s">
        <v>25</v>
      </c>
    </row>
    <row r="13" spans="3:9" x14ac:dyDescent="0.25">
      <c r="C13" t="s">
        <v>26</v>
      </c>
    </row>
    <row r="14" spans="3:9" x14ac:dyDescent="0.25">
      <c r="C14" t="s">
        <v>27</v>
      </c>
    </row>
    <row r="15" spans="3:9" x14ac:dyDescent="0.25">
      <c r="C15" t="s">
        <v>28</v>
      </c>
    </row>
    <row r="16" spans="3:9" x14ac:dyDescent="0.25">
      <c r="C16" t="s">
        <v>29</v>
      </c>
    </row>
    <row r="17" spans="3:3" x14ac:dyDescent="0.25">
      <c r="C17" t="s">
        <v>30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7FD9-C0E5-4CBC-A5BB-A4000BE166D8}">
  <dimension ref="A1"/>
  <sheetViews>
    <sheetView workbookViewId="0">
      <selection activeCell="H9" sqref="H9"/>
    </sheetView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动平衡策略</vt:lpstr>
      <vt:lpstr>日定投策略</vt:lpstr>
      <vt:lpstr>投资总结</vt:lpstr>
      <vt:lpstr>投资准则</vt:lpstr>
      <vt:lpstr>草稿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2020-12-20T08:53:28Z</dcterms:modified>
</cp:coreProperties>
</file>