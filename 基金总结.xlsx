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530"/>
  <workbookPr filterPrivacy="1" defaultThemeVersion="124226"/>
  <xr:revisionPtr revIDLastSave="0" documentId="13_ncr:1_{65A63459-9070-4F55-A4D8-BD6F35740C3C}" xr6:coauthVersionLast="46" xr6:coauthVersionMax="46" xr10:uidLastSave="{00000000-0000-0000-0000-000000000000}"/>
  <bookViews>
    <workbookView xWindow="1730" yWindow="1180" windowWidth="16910" windowHeight="8860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91029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<sst xmlns="http://schemas.openxmlformats.org/spreadsheetml/2006/main" count="248" uniqueCount="168">
  <si>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</si>
  <si>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</si>
  <si>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</si>
  <si>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</si>
  <si>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</si>
  <si>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</si>
  <si>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</si>
  <si>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</si>
  <si>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</si>
  <si>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</si>
  <si>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</si>
  <si>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</si>
  <si>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</si>
  <si>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</si>
  <si>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</si>
  <si>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</si>
  <si>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</si>
  <si>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</si>
  <si>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</si>
  <si>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</si>
  <si>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</si>
  <si>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</si>
  <si>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</si>
  <si>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</si>
  <si>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</si>
  <si>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</si>
  <si>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</si>
  <si>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</si>
  <si>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</si>
  <si>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</si>
  <si>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</si>
  <si>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</si>
  <si>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</si>
  <si>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</si>
  <si>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</si>
  <si>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</si>
  <si>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</si>
  <si>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</si>
  <si>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</si>
  <si>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</si>
  <si>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</si>
  <si>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</si>
  <si>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</si>
  <si>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</si>
  <si>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</si>
  <si>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</si>
  <si>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</si>
  <si>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</si>
  <si>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</si>
  <si>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</si>
  <si>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</si>
  <si>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</si>
  <si>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</si>
  <si>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</si>
  <si>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</si>
  <si>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</si>
  <si>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</si>
  <si>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</si>
  <si>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</si>
  <si>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</si>
  <si>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</si>
  <si>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</si>
  <si>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</si>
  <si>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</si>
  <si>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</si>
  <si>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</si>
  <si>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</si>
  <si>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</si>
  <si>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</si>
  <si>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</si>
  <si>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</si>
  <si>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</si>
  <si>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</si>
  <si>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</si>
  <si>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</si>
  <si>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</si>
  <si>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</si>
  <si>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</si>
  <si>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</si>
  <si>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</si>
  <si>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</si>
  <si>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</si>
  <si>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</si>
  <si>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</si>
  <si>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</si>
  <si>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</si>
  <si>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</si>
  <si>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</si>
  <si>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</si>
  <si>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</si>
  <si>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</si>
  <si>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</si>
  <si>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</si>
  <si>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</si>
  <si>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</si>
  <si>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</si>
  <si>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</si>
  <si>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</si>
  <si>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</si>
  <si>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</si>
  <si>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</si>
  <si>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</si>
  <si>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</si>
  <si>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</si>
  <si>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</si>
  <si>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</si>
  <si>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</si>
  <si>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</si>
  <si>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</si>
  <si>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</si>
  <si>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</si>
  <si>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</si>
  <si>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</si>
  <si>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</si>
  <si>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</si>
  <si>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</si>
  <si>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</si>
  <si>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</si>
  <si>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</si>
  <si>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</si>
  <si>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</si>
  <si>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</si>
  <si>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</si>
  <si>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</si>
  <si>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</si>
  <si>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</si>
  <si>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</si>
  <si>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</si>
  <si>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</si>
  <si>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</si>
  <si>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</si>
  <si>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</si>
  <si>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</si>
  <si>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</si>
  <si>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</si>
  <si>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</si>
  <si>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</si>
  <si>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</si>
  <si>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</si>
  <si>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</si>
  <si>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</si>
  <si>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</si>
  <si>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</si>
  <si>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</si>
  <si>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</si>
  <si>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</si>
  <si>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</si>
  <si>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</si>
  <si>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</si>
  <si>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</si>
  <si>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</si>
  <si>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</si>
  <si>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</si>
  <si>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2020/01/15</t>
    <phoneticPr fontId="1" type="noConversion"/>
  </si>
  <si>
    <t>2020/02/15</t>
    <phoneticPr fontId="1" type="noConversion"/>
  </si>
  <si>
    <t>2020/03/15</t>
    <phoneticPr fontId="1" type="noConversion"/>
  </si>
  <si>
    <t>2020/04/15</t>
    <phoneticPr fontId="1" type="noConversion"/>
  </si>
  <si>
    <t>2020/05/15</t>
    <phoneticPr fontId="1" type="noConversion"/>
  </si>
  <si>
    <t>2020/06/15</t>
    <phoneticPr fontId="1" type="noConversion"/>
  </si>
  <si>
    <t>2020/07/15</t>
    <phoneticPr fontId="1" type="noConversion"/>
  </si>
  <si>
    <t>2020/08/15</t>
    <phoneticPr fontId="1" type="noConversion"/>
  </si>
  <si>
    <t>2020/10/15</t>
    <phoneticPr fontId="1" type="noConversion"/>
  </si>
  <si>
    <t>2020/12/15</t>
    <phoneticPr fontId="1" type="noConversion"/>
  </si>
  <si>
    <t>2020/09/15</t>
    <phoneticPr fontId="1" type="noConversion"/>
  </si>
  <si>
    <t>投资金额</t>
    <phoneticPr fontId="1" type="noConversion"/>
  </si>
  <si>
    <t>2020/01/10</t>
    <phoneticPr fontId="1" type="noConversion"/>
  </si>
  <si>
    <t>总金额</t>
    <phoneticPr fontId="1" type="noConversion"/>
  </si>
  <si>
    <t>2020/01/17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</si>
</sst>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2020/01/15</c:v>
                </c:pt>
                <c:pt idx="1">
                  <c:v>2020/01/17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  <c:pt idx="0">
                  <c:v>2.1100000000000001E-2</c:v>
                </c:pt>
                <c:pt idx="1">
                  <c:v>1.9099999999999999E-2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65376"/>
        <c:axId val="100702080"/>
      </c:lineChart>
      <c:catAx>
        <c:axId val="71765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0702080"/>
        <c:crosses val="autoZero"/>
        <c:auto val="1"/>
        <c:lblAlgn val="ctr"/>
        <c:lblOffset val="100"/>
        <c:noMultiLvlLbl val="0"/>
      </c:catAx>
      <c:valAx>
        <c:axId val="1007020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1765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日定投策略2021!$A$3:$A$26</c:f>
              <c:strCache>
                <c:ptCount val="24"/>
                <c:pt idx="0">
                  <c:v>2020/01/10</c:v>
                </c:pt>
                <c:pt idx="1">
                  <c:v>2020/01/17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  <c:pt idx="17">
                  <c:v>2020/09/15</c:v>
                </c:pt>
                <c:pt idx="18">
                  <c:v>2020/10/15</c:v>
                </c:pt>
                <c:pt idx="19">
                  <c:v>2020/10/15</c:v>
                </c:pt>
                <c:pt idx="20">
                  <c:v>2020/11/15</c:v>
                </c:pt>
                <c:pt idx="21">
                  <c:v>2020/11/15</c:v>
                </c:pt>
                <c:pt idx="22">
                  <c:v>2020/12/15</c:v>
                </c:pt>
                <c:pt idx="23">
                  <c:v>2020/12/15</c:v>
                </c:pt>
              </c:strCache>
            </c:strRef>
          </c:cat>
          <c:val>
            <c:numRef>
              <c:f>日定投策略2021!$C$3:$C$26</c:f>
              <c:numCache>
                <c:formatCode>0.00%</c:formatCode>
                <c:ptCount val="24"/>
                <c:pt idx="0">
                  <c:v>9.5999999999999992E-3</c:v>
                </c:pt>
                <c:pt idx="1">
                  <c:v>7.1999999999999998E-3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23712"/>
        <c:axId val="101335808"/>
      </c:lineChart>
      <c:catAx>
        <c:axId val="10072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335808"/>
        <c:crosses val="autoZero"/>
        <c:auto val="1"/>
        <c:lblAlgn val="ctr"/>
        <c:lblOffset val="100"/>
        <c:noMultiLvlLbl val="0"/>
      </c:catAx>
      <c:valAx>
        <c:axId val="1013358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0723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05824"/>
        <c:axId val="101407360"/>
      </c:lineChart>
      <c:catAx>
        <c:axId val="10140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407360"/>
        <c:crosses val="autoZero"/>
        <c:auto val="1"/>
        <c:lblAlgn val="ctr"/>
        <c:lblOffset val="100"/>
        <c:noMultiLvlLbl val="0"/>
      </c:catAx>
      <c:valAx>
        <c:axId val="1014073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058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98880"/>
        <c:axId val="101500416"/>
      </c:lineChart>
      <c:catAx>
        <c:axId val="10149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500416"/>
        <c:crosses val="autoZero"/>
        <c:auto val="1"/>
        <c:lblAlgn val="ctr"/>
        <c:lblOffset val="100"/>
        <c:noMultiLvlLbl val="0"/>
      </c:catAx>
      <c:valAx>
        <c:axId val="1015004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9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zoomScale="85" zoomScaleNormal="85" workbookViewId="0">
      <selection activeCell="E17" sqref="E17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45846.45</v>
      </c>
      <c r="B2" s="5" t="s">
        <v>7</v>
      </c>
      <c r="C2" s="34">
        <v>121588.86</v>
      </c>
      <c r="D2" s="34"/>
      <c r="E2" s="34"/>
    </row>
    <row r="3" spans="1:12" x14ac:dyDescent="0.25">
      <c r="A3" s="10">
        <v>25071</v>
      </c>
      <c r="B3" s="5" t="s">
        <v>8</v>
      </c>
      <c r="C3" s="9">
        <f>SUM(A2:A13)</f>
        <v>78246.45</v>
      </c>
      <c r="D3" s="5" t="s">
        <v>9</v>
      </c>
      <c r="E3" s="6">
        <f>C2-E2-C3</f>
        <v>43342.41</v>
      </c>
    </row>
    <row r="4" spans="1:12" x14ac:dyDescent="0.25">
      <c r="A4" s="10">
        <v>7329</v>
      </c>
      <c r="B4" s="1" t="s">
        <v>1</v>
      </c>
      <c r="C4" s="28" t="s">
        <v>2</v>
      </c>
      <c r="D4" s="28" t="s">
        <v>166</v>
      </c>
      <c r="E4" s="4" t="s">
        <v>0</v>
      </c>
    </row>
    <row r="5" spans="1:12" x14ac:dyDescent="0.25">
      <c r="A5" s="10"/>
      <c r="B5" s="2" t="s">
        <v>153</v>
      </c>
      <c r="C5" s="27">
        <v>2517.46</v>
      </c>
      <c r="D5" s="31">
        <v>121606.3</v>
      </c>
      <c r="E5" s="3">
        <v>2.1100000000000001E-2</v>
      </c>
    </row>
    <row r="6" spans="1:12" x14ac:dyDescent="0.25">
      <c r="A6" s="10"/>
      <c r="B6" s="2" t="s">
        <v>167</v>
      </c>
      <c r="C6" s="27">
        <v>2276.59</v>
      </c>
      <c r="D6" s="27">
        <v>121588.86</v>
      </c>
      <c r="E6" s="3">
        <v>1.9099999999999999E-2</v>
      </c>
    </row>
    <row r="7" spans="1:12" x14ac:dyDescent="0.25">
      <c r="A7" s="10"/>
      <c r="B7" s="2" t="s">
        <v>154</v>
      </c>
      <c r="C7" s="27"/>
      <c r="D7" s="27"/>
      <c r="E7" s="3"/>
    </row>
    <row r="8" spans="1:12" x14ac:dyDescent="0.25">
      <c r="A8" s="10"/>
      <c r="B8" s="2" t="s">
        <v>154</v>
      </c>
      <c r="C8" s="27"/>
      <c r="D8" s="27"/>
      <c r="E8" s="3"/>
    </row>
    <row r="9" spans="1:12" x14ac:dyDescent="0.25">
      <c r="A9" s="10"/>
      <c r="B9" s="2" t="s">
        <v>155</v>
      </c>
      <c r="C9" s="27"/>
      <c r="D9" s="27"/>
      <c r="E9" s="3"/>
    </row>
    <row r="10" spans="1:12" x14ac:dyDescent="0.25">
      <c r="A10" s="10"/>
      <c r="B10" s="2" t="s">
        <v>155</v>
      </c>
      <c r="C10" s="27"/>
      <c r="D10" s="27"/>
      <c r="E10" s="3"/>
    </row>
    <row r="11" spans="1:12" x14ac:dyDescent="0.25">
      <c r="A11" s="10"/>
      <c r="B11" s="2" t="s">
        <v>156</v>
      </c>
      <c r="C11" s="27"/>
      <c r="D11" s="27"/>
      <c r="E11" s="3"/>
    </row>
    <row r="12" spans="1:12" x14ac:dyDescent="0.25">
      <c r="A12" s="10"/>
      <c r="B12" s="2" t="s">
        <v>156</v>
      </c>
      <c r="C12" s="27"/>
      <c r="D12" s="27"/>
      <c r="E12" s="3"/>
    </row>
    <row r="13" spans="1:12" ht="14.15" customHeight="1" x14ac:dyDescent="0.25">
      <c r="A13" s="10"/>
      <c r="B13" s="2" t="s">
        <v>157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157</v>
      </c>
      <c r="C14" s="27"/>
      <c r="D14" s="27"/>
      <c r="E14" s="3"/>
      <c r="F14" s="13">
        <f>$K$22</f>
        <v>27.396051873198846</v>
      </c>
      <c r="G14">
        <v>15</v>
      </c>
      <c r="H14">
        <v>29</v>
      </c>
      <c r="I14">
        <f>E3/C2</f>
        <v>0.35646694935703815</v>
      </c>
      <c r="J14">
        <f>IF(((H14-F14)/(H14-G14))&lt;0,0,((H14-F14)/(H14-G14)))*0.7+0.3</f>
        <v>0.38019740634005766</v>
      </c>
      <c r="K14" s="14">
        <f>(C2*J14-E3)*J14</f>
        <v>1097.0060887026254</v>
      </c>
      <c r="L14" s="11"/>
    </row>
    <row r="15" spans="1:12" ht="14.15" customHeight="1" x14ac:dyDescent="0.25">
      <c r="A15" s="10"/>
      <c r="B15" s="2" t="s">
        <v>158</v>
      </c>
      <c r="C15" s="27"/>
      <c r="D15" s="27"/>
      <c r="E15" s="3"/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158</v>
      </c>
      <c r="C16" s="27"/>
      <c r="D16" s="27"/>
      <c r="E16" s="3"/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159</v>
      </c>
      <c r="C17" s="27"/>
      <c r="D17" s="27"/>
      <c r="E17" s="3"/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159</v>
      </c>
      <c r="C18" s="27"/>
      <c r="D18" s="27"/>
      <c r="E18" s="3"/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160</v>
      </c>
      <c r="C19" s="27"/>
      <c r="D19" s="27"/>
      <c r="E19" s="3"/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160</v>
      </c>
      <c r="C20" s="27"/>
      <c r="D20" s="27"/>
      <c r="E20" s="3"/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163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163</v>
      </c>
      <c r="C22" s="27"/>
      <c r="D22" s="27"/>
      <c r="E22" s="3"/>
      <c r="F22" s="12">
        <v>2361</v>
      </c>
      <c r="G22" s="12">
        <v>35.19</v>
      </c>
      <c r="H22" s="12"/>
      <c r="I22" s="12">
        <v>1803</v>
      </c>
      <c r="J22" s="12">
        <v>17.190000000000001</v>
      </c>
      <c r="K22" s="12">
        <f>(F22*G22+I22*J22)/(F22+I22)</f>
        <v>27.396051873198846</v>
      </c>
    </row>
    <row r="23" spans="1:11" x14ac:dyDescent="0.25">
      <c r="A23" s="10"/>
      <c r="B23" s="2" t="s">
        <v>161</v>
      </c>
      <c r="C23" s="29"/>
      <c r="D23" s="29"/>
      <c r="E23" s="3"/>
    </row>
    <row r="24" spans="1:11" x14ac:dyDescent="0.25">
      <c r="A24" s="10"/>
      <c r="B24" s="2" t="s">
        <v>161</v>
      </c>
      <c r="C24" s="29"/>
      <c r="D24" s="29"/>
      <c r="E24" s="3"/>
    </row>
    <row r="25" spans="1:11" x14ac:dyDescent="0.25">
      <c r="A25" s="10"/>
      <c r="B25" s="2" t="s">
        <v>56</v>
      </c>
      <c r="C25" s="29"/>
      <c r="D25" s="29"/>
      <c r="E25" s="3"/>
    </row>
    <row r="26" spans="1:11" x14ac:dyDescent="0.25">
      <c r="A26" s="10"/>
      <c r="B26" s="2" t="s">
        <v>56</v>
      </c>
      <c r="C26" s="29"/>
      <c r="D26" s="29"/>
      <c r="E26" s="3"/>
    </row>
    <row r="27" spans="1:11" x14ac:dyDescent="0.25">
      <c r="A27" s="10"/>
      <c r="B27" s="2" t="s">
        <v>162</v>
      </c>
      <c r="C27" s="29"/>
      <c r="D27" s="29"/>
      <c r="E27" s="3"/>
    </row>
    <row r="28" spans="1:11" x14ac:dyDescent="0.25">
      <c r="A28" s="10"/>
      <c r="B28" s="2" t="s">
        <v>162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topLeftCell="A4" zoomScaleNormal="100" workbookViewId="0">
      <selection activeCell="D7" sqref="D7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1" t="s">
        <v>1</v>
      </c>
      <c r="B2" s="32" t="s">
        <v>2</v>
      </c>
      <c r="C2" s="4" t="s">
        <v>0</v>
      </c>
      <c r="D2" s="4" t="s">
        <v>164</v>
      </c>
    </row>
    <row r="3" spans="1:11" x14ac:dyDescent="0.25">
      <c r="A3" s="2" t="s">
        <v>165</v>
      </c>
      <c r="B3" s="30">
        <v>161.71</v>
      </c>
      <c r="C3" s="3">
        <v>9.5999999999999992E-3</v>
      </c>
      <c r="D3" s="30">
        <v>16935.88</v>
      </c>
    </row>
    <row r="4" spans="1:11" x14ac:dyDescent="0.25">
      <c r="A4" s="2" t="s">
        <v>167</v>
      </c>
      <c r="B4" s="30">
        <v>142.19</v>
      </c>
      <c r="C4" s="3">
        <v>7.1999999999999998E-3</v>
      </c>
      <c r="D4" s="30">
        <v>19759.849999999999</v>
      </c>
    </row>
    <row r="5" spans="1:11" x14ac:dyDescent="0.25">
      <c r="A5" s="2" t="s">
        <v>154</v>
      </c>
      <c r="B5" s="30"/>
      <c r="C5" s="3"/>
      <c r="D5" s="30"/>
    </row>
    <row r="6" spans="1:11" x14ac:dyDescent="0.25">
      <c r="A6" s="2" t="s">
        <v>154</v>
      </c>
      <c r="B6" s="30"/>
      <c r="C6" s="3"/>
      <c r="D6" s="30"/>
    </row>
    <row r="7" spans="1:11" x14ac:dyDescent="0.25">
      <c r="A7" s="2" t="s">
        <v>155</v>
      </c>
      <c r="B7" s="30"/>
      <c r="C7" s="3"/>
      <c r="D7" s="30"/>
    </row>
    <row r="8" spans="1:11" x14ac:dyDescent="0.25">
      <c r="A8" s="2" t="s">
        <v>155</v>
      </c>
      <c r="B8" s="30"/>
      <c r="C8" s="3"/>
      <c r="D8" s="30"/>
    </row>
    <row r="9" spans="1:11" x14ac:dyDescent="0.25">
      <c r="A9" s="2" t="s">
        <v>156</v>
      </c>
      <c r="B9" s="30"/>
      <c r="C9" s="3"/>
      <c r="D9" s="30"/>
    </row>
    <row r="10" spans="1:11" x14ac:dyDescent="0.25">
      <c r="A10" s="2" t="s">
        <v>156</v>
      </c>
      <c r="B10" s="30"/>
      <c r="C10" s="3"/>
      <c r="D10" s="30"/>
    </row>
    <row r="11" spans="1:11" x14ac:dyDescent="0.25">
      <c r="A11" s="2" t="s">
        <v>157</v>
      </c>
      <c r="B11" s="30"/>
      <c r="C11" s="3"/>
      <c r="D11" s="30"/>
    </row>
    <row r="12" spans="1:11" ht="14.15" customHeight="1" x14ac:dyDescent="0.25">
      <c r="A12" s="2" t="s">
        <v>157</v>
      </c>
      <c r="B12" s="30"/>
      <c r="C12" s="3"/>
      <c r="D12" s="30"/>
    </row>
    <row r="13" spans="1:11" ht="14.15" customHeight="1" x14ac:dyDescent="0.25">
      <c r="A13" s="2" t="s">
        <v>158</v>
      </c>
      <c r="B13" s="30"/>
      <c r="C13" s="3"/>
      <c r="D13" s="30"/>
      <c r="K13" s="11"/>
    </row>
    <row r="14" spans="1:11" ht="14.15" customHeight="1" x14ac:dyDescent="0.25">
      <c r="A14" s="2" t="s">
        <v>158</v>
      </c>
      <c r="B14" s="30"/>
      <c r="C14" s="3"/>
      <c r="D14" s="30"/>
    </row>
    <row r="15" spans="1:11" ht="14.15" customHeight="1" x14ac:dyDescent="0.25">
      <c r="A15" s="2" t="s">
        <v>159</v>
      </c>
      <c r="B15" s="30"/>
      <c r="C15" s="3"/>
      <c r="D15" s="30"/>
    </row>
    <row r="16" spans="1:11" ht="14.15" customHeight="1" x14ac:dyDescent="0.25">
      <c r="A16" s="2" t="s">
        <v>159</v>
      </c>
      <c r="B16" s="30"/>
      <c r="C16" s="3"/>
      <c r="D16" s="30"/>
    </row>
    <row r="17" spans="1:4" ht="14.15" customHeight="1" x14ac:dyDescent="0.25">
      <c r="A17" s="2" t="s">
        <v>160</v>
      </c>
      <c r="B17" s="30"/>
      <c r="C17" s="3"/>
      <c r="D17" s="30"/>
    </row>
    <row r="18" spans="1:4" ht="14.15" customHeight="1" x14ac:dyDescent="0.25">
      <c r="A18" s="2" t="s">
        <v>160</v>
      </c>
      <c r="B18" s="30"/>
      <c r="C18" s="3"/>
      <c r="D18" s="30"/>
    </row>
    <row r="19" spans="1:4" ht="14.15" customHeight="1" x14ac:dyDescent="0.25">
      <c r="A19" s="2" t="s">
        <v>163</v>
      </c>
      <c r="B19" s="30"/>
      <c r="C19" s="3"/>
      <c r="D19" s="30"/>
    </row>
    <row r="20" spans="1:4" ht="14.15" customHeight="1" x14ac:dyDescent="0.25">
      <c r="A20" s="2" t="s">
        <v>163</v>
      </c>
      <c r="B20" s="30"/>
      <c r="C20" s="3"/>
      <c r="D20" s="30"/>
    </row>
    <row r="21" spans="1:4" x14ac:dyDescent="0.25">
      <c r="A21" s="2" t="s">
        <v>161</v>
      </c>
      <c r="B21" s="30"/>
      <c r="C21" s="3"/>
      <c r="D21" s="30"/>
    </row>
    <row r="22" spans="1:4" x14ac:dyDescent="0.25">
      <c r="A22" s="2" t="s">
        <v>161</v>
      </c>
      <c r="B22" s="30"/>
      <c r="C22" s="3"/>
      <c r="D22" s="30"/>
    </row>
    <row r="23" spans="1:4" x14ac:dyDescent="0.25">
      <c r="A23" s="2" t="s">
        <v>56</v>
      </c>
      <c r="B23" s="30"/>
      <c r="C23" s="3"/>
      <c r="D23" s="30"/>
    </row>
    <row r="24" spans="1:4" x14ac:dyDescent="0.25">
      <c r="A24" s="2" t="s">
        <v>56</v>
      </c>
      <c r="B24" s="30"/>
      <c r="C24" s="3"/>
      <c r="D24" s="30"/>
    </row>
    <row r="25" spans="1:4" x14ac:dyDescent="0.25">
      <c r="A25" s="2" t="s">
        <v>162</v>
      </c>
      <c r="B25" s="30"/>
      <c r="C25" s="3"/>
      <c r="D25" s="30"/>
    </row>
    <row r="26" spans="1:4" x14ac:dyDescent="0.25">
      <c r="A26" s="2" t="s">
        <v>162</v>
      </c>
      <c r="B26" s="36"/>
      <c r="C26" s="36"/>
      <c r="D26" s="30"/>
    </row>
  </sheetData>
  <mergeCells count="2">
    <mergeCell ref="B26:C26"/>
    <mergeCell ref="A1: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4" zoomScale="110" zoomScaleNormal="110" workbookViewId="0">
      <selection activeCell="I7" sqref="I7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zoomScale="90" zoomScaleNormal="90" workbookViewId="0">
      <selection activeCell="L8" sqref="L8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45170.7</v>
      </c>
      <c r="B2" s="5" t="s">
        <v>7</v>
      </c>
      <c r="C2" s="34">
        <v>113160</v>
      </c>
      <c r="D2" s="34"/>
      <c r="E2" s="34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5" t="s">
        <v>7</v>
      </c>
      <c r="B2" s="34">
        <v>13546.06</v>
      </c>
      <c r="C2" s="34"/>
      <c r="D2" s="34"/>
    </row>
    <row r="3" spans="1:11" x14ac:dyDescent="0.25">
      <c r="A3" s="1" t="s">
        <v>1</v>
      </c>
      <c r="B3" s="37" t="s">
        <v>2</v>
      </c>
      <c r="C3" s="37"/>
      <c r="D3" s="4" t="s">
        <v>0</v>
      </c>
    </row>
    <row r="4" spans="1:11" x14ac:dyDescent="0.25">
      <c r="A4" s="2" t="s">
        <v>43</v>
      </c>
      <c r="B4" s="36">
        <v>-1.49</v>
      </c>
      <c r="C4" s="36"/>
      <c r="D4" s="3">
        <v>0</v>
      </c>
    </row>
    <row r="5" spans="1:11" x14ac:dyDescent="0.25">
      <c r="A5" s="2" t="s">
        <v>51</v>
      </c>
      <c r="B5" s="36">
        <v>-0.06</v>
      </c>
      <c r="C5" s="36"/>
      <c r="D5" s="3">
        <v>-3.0000000000000001E-3</v>
      </c>
    </row>
    <row r="6" spans="1:11" x14ac:dyDescent="0.25">
      <c r="A6" s="2" t="s">
        <v>53</v>
      </c>
      <c r="B6" s="36">
        <v>8.3000000000000007</v>
      </c>
      <c r="C6" s="36"/>
      <c r="D6" s="3">
        <v>3.0000000000000001E-3</v>
      </c>
    </row>
    <row r="7" spans="1:11" x14ac:dyDescent="0.25">
      <c r="A7" s="2" t="s">
        <v>54</v>
      </c>
      <c r="B7" s="36">
        <v>14.52</v>
      </c>
      <c r="C7" s="36"/>
      <c r="D7" s="3">
        <v>1.1999999999999999E-3</v>
      </c>
    </row>
    <row r="8" spans="1:11" x14ac:dyDescent="0.25">
      <c r="A8" s="2" t="s">
        <v>55</v>
      </c>
      <c r="B8" s="36">
        <v>9.6300000000000008</v>
      </c>
      <c r="C8" s="36"/>
      <c r="D8" s="3">
        <v>5.1000000000000004E-3</v>
      </c>
    </row>
    <row r="9" spans="1:11" x14ac:dyDescent="0.25">
      <c r="A9" s="2" t="s">
        <v>56</v>
      </c>
      <c r="B9" s="36">
        <v>4.66</v>
      </c>
      <c r="C9" s="36"/>
      <c r="D9" s="3">
        <v>4.4999999999999997E-3</v>
      </c>
    </row>
    <row r="10" spans="1:11" x14ac:dyDescent="0.25">
      <c r="A10" s="2" t="s">
        <v>57</v>
      </c>
      <c r="B10" s="36">
        <v>14.48</v>
      </c>
      <c r="C10" s="36"/>
      <c r="D10" s="3">
        <v>1.8E-3</v>
      </c>
    </row>
    <row r="11" spans="1:11" x14ac:dyDescent="0.25">
      <c r="A11" s="2" t="s">
        <v>58</v>
      </c>
      <c r="B11" s="36">
        <v>24.22</v>
      </c>
      <c r="C11" s="36"/>
      <c r="D11" s="3">
        <v>4.4000000000000003E-3</v>
      </c>
    </row>
    <row r="12" spans="1:11" ht="14.15" customHeight="1" x14ac:dyDescent="0.25">
      <c r="A12" s="2" t="s">
        <v>59</v>
      </c>
      <c r="B12" s="36">
        <v>51.62</v>
      </c>
      <c r="C12" s="36"/>
      <c r="D12" s="3">
        <v>7.3000000000000001E-3</v>
      </c>
    </row>
    <row r="13" spans="1:11" ht="14.15" customHeight="1" x14ac:dyDescent="0.25">
      <c r="A13" s="2" t="s">
        <v>144</v>
      </c>
      <c r="B13" s="36">
        <v>72.09</v>
      </c>
      <c r="C13" s="36"/>
      <c r="D13" s="3">
        <v>6.8999999999999999E-3</v>
      </c>
      <c r="K13" s="11"/>
    </row>
    <row r="14" spans="1:11" ht="14.15" customHeight="1" x14ac:dyDescent="0.25">
      <c r="A14" s="2" t="s">
        <v>149</v>
      </c>
      <c r="B14" s="36">
        <v>76.31</v>
      </c>
      <c r="C14" s="36"/>
      <c r="D14" s="3">
        <v>7.0000000000000001E-3</v>
      </c>
    </row>
    <row r="15" spans="1:11" ht="14.15" customHeight="1" x14ac:dyDescent="0.25">
      <c r="A15" s="2" t="s">
        <v>151</v>
      </c>
      <c r="B15" s="36">
        <v>134.65</v>
      </c>
      <c r="C15" s="36"/>
      <c r="D15" s="3">
        <v>1.12E-2</v>
      </c>
    </row>
    <row r="16" spans="1:11" ht="14.15" customHeight="1" x14ac:dyDescent="0.25">
      <c r="A16" s="2" t="s">
        <v>152</v>
      </c>
      <c r="B16" s="36">
        <v>236.67</v>
      </c>
      <c r="C16" s="36"/>
      <c r="D16" s="3">
        <v>1.7399999999999999E-2</v>
      </c>
    </row>
    <row r="17" spans="1:4" ht="14.15" customHeight="1" x14ac:dyDescent="0.25">
      <c r="A17" s="2"/>
      <c r="B17" s="36"/>
      <c r="C17" s="36"/>
      <c r="D17" s="3"/>
    </row>
    <row r="18" spans="1:4" ht="14.15" customHeight="1" x14ac:dyDescent="0.25">
      <c r="A18" s="2"/>
      <c r="B18" s="36"/>
      <c r="C18" s="36"/>
      <c r="D18" s="3"/>
    </row>
    <row r="19" spans="1:4" ht="14.15" customHeight="1" x14ac:dyDescent="0.25">
      <c r="A19" s="2"/>
      <c r="B19" s="36"/>
      <c r="C19" s="36"/>
      <c r="D19" s="3"/>
    </row>
    <row r="20" spans="1:4" ht="14.15" customHeight="1" x14ac:dyDescent="0.2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2021-01-17T06:04:23Z</dcterms:modified>
</cp:coreProperties>
</file>