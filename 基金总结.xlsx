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239AA278-8539-46C3-9E42-035135EE4BE1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<sst xmlns="http://schemas.openxmlformats.org/spreadsheetml/2006/main" count="89" uniqueCount="75">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</sst>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  <c:pt idx="18">
                  <c:v>8.1600000000000006E-2</c:v>
                </c:pt>
                <c:pt idx="19">
                  <c:v>8.0799999999999997E-2</c:v>
                </c:pt>
                <c:pt idx="20">
                  <c:v>7.9399999999999998E-2</c:v>
                </c:pt>
                <c:pt idx="21">
                  <c:v>7.8E-2</c:v>
                </c:pt>
                <c:pt idx="22">
                  <c:v>8.4099999999999994E-2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8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I25" sqref="I25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24" t="s">
        <v>6</v>
      </c>
      <c r="C1" s="24"/>
      <c r="D1" s="24"/>
      <c r="E1" s="24"/>
    </row>
    <row r="2" spans="1:12" x14ac:dyDescent="0.25">
      <c r="A2" s="10">
        <v>44954.080000000002</v>
      </c>
      <c r="B2" s="5" t="s">
        <v>11</v>
      </c>
      <c r="C2" s="25">
        <v>103715.99</v>
      </c>
      <c r="D2" s="25"/>
      <c r="E2" s="25"/>
    </row>
    <row r="3" spans="1:12" x14ac:dyDescent="0.25">
      <c r="A3" s="10">
        <v>22578.01</v>
      </c>
      <c r="B3" s="5" t="s">
        <v>12</v>
      </c>
      <c r="C3" s="9">
        <f>SUM(A2:A19)</f>
        <v>67532.09</v>
      </c>
      <c r="D3" s="5" t="s">
        <v>13</v>
      </c>
      <c r="E3" s="6">
        <f>C2-E2-C3</f>
        <v>36183.900000000009</v>
      </c>
    </row>
    <row r="4" spans="1:12" x14ac:dyDescent="0.25">
      <c r="A4" s="10"/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26.396900243309005</v>
      </c>
      <c r="G14">
        <v>16</v>
      </c>
      <c r="H14">
        <v>26.5</v>
      </c>
      <c r="I14">
        <f>E3/C2</f>
        <v>0.34887484562409332</v>
      </c>
      <c r="J14">
        <f>IF(((H14-F14)/(H14-G14))&lt;0,0,((H14-F14)/(H14-G14)))*0.7+0.3</f>
        <v>0.30687331711273297</v>
      </c>
      <c r="K14" s="14">
        <f>(C2*J14-E3)*J14</f>
        <v>-1336.8107842901027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6" t="s">
        <v>52</v>
      </c>
      <c r="G15" s="26"/>
      <c r="H15" s="26"/>
      <c r="I15" s="26"/>
      <c r="J15" s="26"/>
      <c r="K15" s="26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6"/>
      <c r="G16" s="26"/>
      <c r="H16" s="26"/>
      <c r="I16" s="26"/>
      <c r="J16" s="26"/>
      <c r="K16" s="26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6"/>
      <c r="G17" s="26"/>
      <c r="H17" s="26"/>
      <c r="I17" s="26"/>
      <c r="J17" s="26"/>
      <c r="K17" s="26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6"/>
      <c r="G18" s="26"/>
      <c r="H18" s="26"/>
      <c r="I18" s="26"/>
      <c r="J18" s="26"/>
      <c r="K18" s="26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6"/>
      <c r="G19" s="26"/>
      <c r="H19" s="26"/>
      <c r="I19" s="26"/>
      <c r="J19" s="26"/>
      <c r="K19" s="26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6"/>
      <c r="G20" s="26"/>
      <c r="H20" s="26"/>
      <c r="I20" s="26"/>
      <c r="J20" s="26"/>
      <c r="K20" s="26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2336</v>
      </c>
      <c r="G22" s="12">
        <v>33.89</v>
      </c>
      <c r="H22" s="12"/>
      <c r="I22" s="12">
        <v>1774</v>
      </c>
      <c r="J22" s="12">
        <v>16.53</v>
      </c>
      <c r="K22" s="12">
        <f>(F22*G22+I22*J22)/(F22+I22)</f>
        <v>26.396900243309005</v>
      </c>
    </row>
    <row r="23" spans="1:11" x14ac:dyDescent="0.25">
      <c r="A23" s="10"/>
      <c r="B23" s="2" t="s">
        <v>70</v>
      </c>
      <c r="C23" s="19">
        <v>12181.32</v>
      </c>
      <c r="D23" s="19">
        <v>25.93</v>
      </c>
      <c r="E23" s="3">
        <v>8.1600000000000006E-2</v>
      </c>
    </row>
    <row r="24" spans="1:11" x14ac:dyDescent="0.25">
      <c r="A24" s="10"/>
      <c r="B24" s="2" t="s">
        <v>71</v>
      </c>
      <c r="C24" s="20">
        <v>12095.71</v>
      </c>
      <c r="D24" s="20">
        <v>25.81</v>
      </c>
      <c r="E24" s="3">
        <v>8.0799999999999997E-2</v>
      </c>
    </row>
    <row r="25" spans="1:11" x14ac:dyDescent="0.25">
      <c r="A25" s="10"/>
      <c r="B25" s="2" t="s">
        <v>72</v>
      </c>
      <c r="C25" s="21">
        <v>12631.63</v>
      </c>
      <c r="D25" s="21">
        <v>26.14</v>
      </c>
      <c r="E25" s="3">
        <v>7.9399999999999998E-2</v>
      </c>
    </row>
    <row r="26" spans="1:11" x14ac:dyDescent="0.25">
      <c r="A26" s="10"/>
      <c r="B26" s="2" t="s">
        <v>73</v>
      </c>
      <c r="C26" s="22">
        <v>12200.58</v>
      </c>
      <c r="D26" s="22">
        <v>25.89</v>
      </c>
      <c r="E26" s="3">
        <v>7.8E-2</v>
      </c>
    </row>
    <row r="27" spans="1:11" x14ac:dyDescent="0.25">
      <c r="A27" s="10"/>
      <c r="B27" s="2" t="s">
        <v>74</v>
      </c>
      <c r="C27" s="23">
        <v>13144.84</v>
      </c>
      <c r="D27" s="23">
        <v>26.4</v>
      </c>
      <c r="E27" s="3">
        <v>8.4099999999999994E-2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K15" sqref="K15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4" t="s">
        <v>6</v>
      </c>
      <c r="B1" s="24"/>
      <c r="C1" s="24"/>
      <c r="D1" s="24"/>
    </row>
    <row r="2" spans="1:11" x14ac:dyDescent="0.25">
      <c r="A2" s="5" t="s">
        <v>11</v>
      </c>
      <c r="B2" s="25">
        <v>7129.57</v>
      </c>
      <c r="C2" s="25"/>
      <c r="D2" s="25"/>
    </row>
    <row r="3" spans="1:11" x14ac:dyDescent="0.25">
      <c r="A3" s="1" t="s">
        <v>1</v>
      </c>
      <c r="B3" s="28" t="s">
        <v>2</v>
      </c>
      <c r="C3" s="28"/>
      <c r="D3" s="4" t="s">
        <v>0</v>
      </c>
    </row>
    <row r="4" spans="1:11" x14ac:dyDescent="0.25">
      <c r="A4" s="2" t="s">
        <v>51</v>
      </c>
      <c r="B4" s="27">
        <v>-1.49</v>
      </c>
      <c r="C4" s="27"/>
      <c r="D4" s="3">
        <v>0</v>
      </c>
    </row>
    <row r="5" spans="1:11" x14ac:dyDescent="0.25">
      <c r="A5" s="2" t="s">
        <v>59</v>
      </c>
      <c r="B5" s="27">
        <v>-0.06</v>
      </c>
      <c r="C5" s="27"/>
      <c r="D5" s="3">
        <v>-3.0000000000000001E-3</v>
      </c>
    </row>
    <row r="6" spans="1:11" x14ac:dyDescent="0.25">
      <c r="A6" s="2" t="s">
        <v>68</v>
      </c>
      <c r="B6" s="27">
        <v>8.3000000000000007</v>
      </c>
      <c r="C6" s="27"/>
      <c r="D6" s="3">
        <v>3.0000000000000001E-3</v>
      </c>
    </row>
    <row r="7" spans="1:11" x14ac:dyDescent="0.25">
      <c r="A7" s="2" t="s">
        <v>69</v>
      </c>
      <c r="B7" s="27">
        <v>14.52</v>
      </c>
      <c r="C7" s="27"/>
      <c r="D7" s="3">
        <v>1.1999999999999999E-3</v>
      </c>
    </row>
    <row r="8" spans="1:11" x14ac:dyDescent="0.25">
      <c r="A8" s="2" t="s">
        <v>70</v>
      </c>
      <c r="B8" s="27">
        <v>9.6300000000000008</v>
      </c>
      <c r="C8" s="27"/>
      <c r="D8" s="3">
        <v>5.1000000000000004E-3</v>
      </c>
    </row>
    <row r="9" spans="1:11" x14ac:dyDescent="0.25">
      <c r="A9" s="2" t="s">
        <v>71</v>
      </c>
      <c r="B9" s="27">
        <v>4.66</v>
      </c>
      <c r="C9" s="27"/>
      <c r="D9" s="3">
        <v>4.4999999999999997E-3</v>
      </c>
    </row>
    <row r="10" spans="1:11" x14ac:dyDescent="0.25">
      <c r="A10" s="2" t="s">
        <v>72</v>
      </c>
      <c r="B10" s="27">
        <v>14.48</v>
      </c>
      <c r="C10" s="27"/>
      <c r="D10" s="3">
        <v>1.8E-3</v>
      </c>
    </row>
    <row r="11" spans="1:11" x14ac:dyDescent="0.25">
      <c r="A11" s="2" t="s">
        <v>73</v>
      </c>
      <c r="B11" s="27">
        <v>24.22</v>
      </c>
      <c r="C11" s="27"/>
      <c r="D11" s="3">
        <v>4.4000000000000003E-3</v>
      </c>
    </row>
    <row r="12" spans="1:11" ht="14" customHeight="1" x14ac:dyDescent="0.25">
      <c r="A12" s="2" t="s">
        <v>74</v>
      </c>
      <c r="B12" s="27">
        <v>51.62</v>
      </c>
      <c r="C12" s="27"/>
      <c r="D12" s="3">
        <v>7.3000000000000001E-3</v>
      </c>
    </row>
    <row r="13" spans="1:11" ht="14" customHeight="1" x14ac:dyDescent="0.25">
      <c r="A13" s="2"/>
      <c r="B13" s="27"/>
      <c r="C13" s="27"/>
      <c r="D13" s="3"/>
      <c r="K13" s="11"/>
    </row>
    <row r="14" spans="1:11" ht="14" customHeight="1" x14ac:dyDescent="0.25">
      <c r="A14" s="2"/>
      <c r="B14" s="27"/>
      <c r="C14" s="27"/>
      <c r="D14" s="3"/>
    </row>
    <row r="15" spans="1:11" ht="14" customHeight="1" x14ac:dyDescent="0.25">
      <c r="A15" s="2"/>
      <c r="B15" s="27"/>
      <c r="C15" s="27"/>
      <c r="D15" s="3"/>
    </row>
    <row r="16" spans="1:11" ht="14" customHeight="1" x14ac:dyDescent="0.25">
      <c r="A16" s="2"/>
      <c r="B16" s="27"/>
      <c r="C16" s="27"/>
      <c r="D16" s="3"/>
    </row>
    <row r="17" spans="1:4" ht="14" customHeight="1" x14ac:dyDescent="0.25">
      <c r="A17" s="2"/>
      <c r="B17" s="27"/>
      <c r="C17" s="27"/>
      <c r="D17" s="3"/>
    </row>
    <row r="18" spans="1:4" ht="14" customHeight="1" x14ac:dyDescent="0.25">
      <c r="A18" s="2"/>
      <c r="B18" s="27"/>
      <c r="C18" s="27"/>
      <c r="D18" s="3"/>
    </row>
    <row r="19" spans="1:4" ht="14" customHeight="1" x14ac:dyDescent="0.25">
      <c r="A19" s="2"/>
      <c r="B19" s="27"/>
      <c r="C19" s="27"/>
      <c r="D19" s="3"/>
    </row>
    <row r="20" spans="1:4" ht="14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I12" sqref="I12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2020-12-06T08:18:58Z</dcterms:modified>
</cp:coreProperties>
</file>