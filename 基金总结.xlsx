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filterPrivacy="1" defaultThemeVersion="124226"/>
  <xr:revisionPtr revIDLastSave="0" documentId="13_ncr:1_{613CB9D5-CC88-49D1-81E1-C7DE6AFE8A69}" xr6:coauthVersionLast="45" xr6:coauthVersionMax="45" xr10:uidLastSave="{00000000-0000-0000-0000-000000000000}"/>
  <bookViews>
    <workbookView xWindow="-110" yWindow="-110" windowWidth="19420" windowHeight="10420" activeTab="2" xr2:uid="{00000000-000D-0000-FFFF-FFFF00000000}"/>
  </bookViews>
  <sheets>
    <sheet name="动平衡策略" sheetId="1" r:id="rId1"/>
    <sheet name="日定投策略" sheetId="4" r:id="rId2"/>
    <sheet name="投资总结" sheetId="6" r:id="rId3"/>
    <sheet name="投资准则" sheetId="2" r:id="rId4"/>
    <sheet name="草稿" sheetId="7" r:id="rId5"/>
  </sheets>
  <calcPr calcId="191029"/>
</workbook>
</file>

<file path=xl/calcChain.xml><?xml version="1.0" encoding="utf-8"?>
<calcChain xmlns="http://schemas.openxmlformats.org/spreadsheetml/2006/main">
  <c r="K22" i="1" l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<sst xmlns="http://schemas.openxmlformats.org/spreadsheetml/2006/main" count="173" uniqueCount="152">
  <si>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</si>
  <si>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</si>
  <si>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</si>
  <si>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</si>
  <si>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</si>
  <si>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</si>
  <si>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</si>
  <si>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</si>
  <si>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</si>
  <si>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</si>
  <si>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</si>
  <si>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</si>
  <si>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</si>
  <si>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</si>
  <si>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</si>
  <si>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</si>
  <si>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</si>
  <si>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</si>
  <si>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</si>
  <si>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</si>
  <si>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</si>
  <si>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</si>
  <si>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</si>
  <si>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</si>
  <si>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</si>
  <si>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</si>
  <si>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</si>
  <si>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</si>
  <si>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</si>
  <si>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</si>
  <si>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</si>
  <si>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</si>
  <si>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</si>
  <si>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</si>
  <si>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</si>
  <si>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</si>
  <si>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</si>
  <si>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</si>
  <si>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</si>
  <si>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</si>
  <si>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</si>
  <si>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</si>
  <si>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</si>
  <si>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</si>
  <si>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</si>
  <si>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</si>
  <si>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</si>
  <si>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</si>
  <si>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</si>
  <si>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</si>
  <si>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</si>
  <si>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</si>
  <si>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</si>
  <si>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</si>
  <si>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</si>
  <si>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</si>
  <si>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</si>
  <si>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</si>
  <si>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</si>
  <si>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</si>
  <si>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</si>
  <si>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</si>
  <si>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</si>
  <si>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</si>
  <si>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</si>
  <si>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</si>
  <si>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</si>
  <si>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</si>
  <si>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</si>
  <si>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</si>
  <si>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</si>
  <si>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</si>
  <si>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</si>
  <si>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</si>
  <si>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</si>
  <si>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</si>
  <si>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</si>
  <si>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</si>
  <si>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</si>
  <si>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</si>
  <si>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</si>
  <si>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</si>
  <si>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</si>
  <si>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</si>
  <si>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</si>
  <si>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</si>
  <si>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</si>
  <si>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</si>
  <si>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</si>
  <si>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</si>
  <si>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</si>
  <si>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</si>
  <si>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</si>
  <si>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</si>
  <si>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</si>
  <si>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</si>
  <si>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</si>
  <si>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</si>
  <si>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</si>
  <si>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</si>
  <si>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</si>
  <si>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</si>
  <si>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</si>
  <si>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</si>
  <si>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</si>
  <si>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</si>
  <si>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</si>
  <si>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</si>
  <si>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</si>
  <si>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</si>
  <si>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</si>
  <si>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</si>
  <si>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</si>
  <si>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</si>
  <si>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</si>
  <si>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</si>
  <si>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</si>
  <si>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</si>
  <si>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</si>
  <si>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</si>
  <si>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</si>
  <si>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</si>
  <si>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</si>
  <si>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</si>
  <si>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</si>
  <si>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</si>
  <si>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</si>
  <si>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</si>
  <si>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</si>
  <si>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</si>
  <si>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</si>
  <si>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</si>
  <si>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</si>
  <si>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</si>
  <si>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</si>
  <si>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</si>
  <si>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</si>
  <si>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</si>
  <si>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</si>
  <si>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</si>
  <si>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</si>
  <si>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</si>
  <si>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</si>
  <si>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</si>
  <si>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</si>
  <si>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</si>
  <si>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</si>
  <si>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</si>
  <si>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</si>
  <si>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</si>
  <si>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</si>
  <si>
    <t>2020/12/26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</si>
</sst>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动平衡策略!$B$5:$B$22</c:f>
              <c:strCache>
                <c:ptCount val="18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2020/11/12</c:v>
                </c:pt>
                <c:pt idx="11">
                  <c:v>2020/11/15</c:v>
                </c:pt>
                <c:pt idx="12">
                  <c:v>2020/11/21</c:v>
                </c:pt>
                <c:pt idx="13">
                  <c:v>2020/11/29</c:v>
                </c:pt>
                <c:pt idx="14">
                  <c:v>2020/12/06</c:v>
                </c:pt>
                <c:pt idx="15">
                  <c:v>2020/12/20</c:v>
                </c:pt>
                <c:pt idx="16">
                  <c:v>2020/12/22</c:v>
                </c:pt>
                <c:pt idx="17">
                  <c:v>2020/12/26</c:v>
                </c:pt>
              </c:strCache>
            </c:strRef>
          </c:cat>
          <c:val>
            <c:numRef>
              <c:f>动平衡策略!$E$5:$E$22</c:f>
              <c:numCache>
                <c:formatCode>0.00%</c:formatCode>
                <c:ptCount val="18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8.1600000000000006E-2</c:v>
                </c:pt>
                <c:pt idx="11">
                  <c:v>8.0799999999999997E-2</c:v>
                </c:pt>
                <c:pt idx="12">
                  <c:v>7.9399999999999998E-2</c:v>
                </c:pt>
                <c:pt idx="13">
                  <c:v>7.8E-2</c:v>
                </c:pt>
                <c:pt idx="14">
                  <c:v>8.4099999999999994E-2</c:v>
                </c:pt>
                <c:pt idx="15">
                  <c:v>8.4500000000000006E-2</c:v>
                </c:pt>
                <c:pt idx="16">
                  <c:v>8.7099999999999997E-2</c:v>
                </c:pt>
                <c:pt idx="17">
                  <c:v>9.3899999999999997E-2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76864"/>
        <c:axId val="80168064"/>
      </c:lineChart>
      <c:catAx>
        <c:axId val="65476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80168064"/>
        <c:crosses val="autoZero"/>
        <c:auto val="1"/>
        <c:lblAlgn val="ctr"/>
        <c:lblOffset val="100"/>
        <c:noMultiLvlLbl val="0"/>
      </c:catAx>
      <c:valAx>
        <c:axId val="80168064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654768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日定投策略!$A$5:$A$27</c:f>
              <c:strCache>
                <c:ptCount val="11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  <c:pt idx="10">
                  <c:v>2020/12/26</c:v>
                </c:pt>
              </c:strCache>
            </c:strRef>
          </c:cat>
          <c:val>
            <c:numRef>
              <c:f>日定投策略!$D$4:$D$27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  <c:pt idx="11">
                  <c:v>1.12E-2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89696"/>
        <c:axId val="98705408"/>
      </c:lineChart>
      <c:catAx>
        <c:axId val="80189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98705408"/>
        <c:crosses val="autoZero"/>
        <c:auto val="1"/>
        <c:lblAlgn val="ctr"/>
        <c:lblOffset val="100"/>
        <c:noMultiLvlLbl val="0"/>
      </c:catAx>
      <c:valAx>
        <c:axId val="98705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801896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opLeftCell="A4" zoomScale="90" zoomScaleNormal="90" workbookViewId="0">
      <selection activeCell="I25" sqref="I25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28" t="s">
        <v>5</v>
      </c>
      <c r="C1" s="28"/>
      <c r="D1" s="28"/>
      <c r="E1" s="28"/>
    </row>
    <row r="2" spans="1:12" x14ac:dyDescent="0.25">
      <c r="A2" s="10">
        <v>44854.87</v>
      </c>
      <c r="B2" s="5" t="s">
        <v>7</v>
      </c>
      <c r="C2" s="29">
        <v>106282.97</v>
      </c>
      <c r="D2" s="29"/>
      <c r="E2" s="29"/>
    </row>
    <row r="3" spans="1:12" x14ac:dyDescent="0.25">
      <c r="A3" s="10">
        <v>24586.1</v>
      </c>
      <c r="B3" s="5" t="s">
        <v>8</v>
      </c>
      <c r="C3" s="9">
        <f>SUM(A2:A13)</f>
        <v>69440.97</v>
      </c>
      <c r="D3" s="5" t="s">
        <v>9</v>
      </c>
      <c r="E3" s="6">
        <f>C2-E2-C3</f>
        <v>36842</v>
      </c>
    </row>
    <row r="4" spans="1:12" x14ac:dyDescent="0.25">
      <c r="A4" s="10"/>
      <c r="B4" s="1" t="s">
        <v>1</v>
      </c>
      <c r="C4" s="18" t="s">
        <v>2</v>
      </c>
      <c r="D4" s="18" t="s">
        <v>49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2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2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25">
      <c r="A10" s="10"/>
      <c r="B10" s="2" t="s">
        <v>38</v>
      </c>
      <c r="C10" s="17">
        <v>9719.7099999999991</v>
      </c>
      <c r="D10" s="17"/>
      <c r="E10" s="3">
        <v>6.54E-2</v>
      </c>
    </row>
    <row r="11" spans="1:12" x14ac:dyDescent="0.25">
      <c r="A11" s="10"/>
      <c r="B11" s="2" t="s">
        <v>39</v>
      </c>
      <c r="C11" s="17">
        <v>9118.0400000000009</v>
      </c>
      <c r="D11" s="17"/>
      <c r="E11" s="3">
        <v>6.0199999999999997E-2</v>
      </c>
    </row>
    <row r="12" spans="1:12" x14ac:dyDescent="0.25">
      <c r="A12" s="10"/>
      <c r="B12" s="2" t="s">
        <v>45</v>
      </c>
      <c r="C12" s="17">
        <v>10050.39</v>
      </c>
      <c r="D12" s="17"/>
      <c r="E12" s="3">
        <v>7.1900000000000006E-2</v>
      </c>
    </row>
    <row r="13" spans="1:12" ht="14.15" customHeight="1" x14ac:dyDescent="0.25">
      <c r="A13" s="10"/>
      <c r="B13" s="2" t="s">
        <v>51</v>
      </c>
      <c r="C13" s="17">
        <v>10782.94</v>
      </c>
      <c r="D13" s="17">
        <v>25.67</v>
      </c>
      <c r="E13" s="3">
        <v>6.6699999999999995E-2</v>
      </c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52</v>
      </c>
      <c r="C14" s="17">
        <v>12238.76</v>
      </c>
      <c r="D14" s="17">
        <v>25.93</v>
      </c>
      <c r="E14" s="3">
        <v>7.6100000000000001E-2</v>
      </c>
      <c r="F14" s="13">
        <f>$K$22</f>
        <v>26.166555232558142</v>
      </c>
      <c r="G14">
        <v>16</v>
      </c>
      <c r="H14">
        <v>26.5</v>
      </c>
      <c r="I14">
        <f>E3/C2</f>
        <v>0.34664067065495063</v>
      </c>
      <c r="J14">
        <f>IF(((H14-F14)/(H14-G14))&lt;0,0,((H14-F14)/(H14-G14)))*0.7+0.3</f>
        <v>0.32222965116279051</v>
      </c>
      <c r="K14" s="14">
        <f>(C2*J14-E3)*J14</f>
        <v>-836.01698440859786</v>
      </c>
      <c r="L14" s="11"/>
    </row>
    <row r="15" spans="1:12" ht="14.15" customHeight="1" x14ac:dyDescent="0.25">
      <c r="A15" s="10"/>
      <c r="B15" s="2" t="s">
        <v>55</v>
      </c>
      <c r="C15" s="19">
        <v>12181.32</v>
      </c>
      <c r="D15" s="19">
        <v>25.93</v>
      </c>
      <c r="E15" s="3">
        <v>8.1600000000000006E-2</v>
      </c>
      <c r="F15" s="30" t="s">
        <v>44</v>
      </c>
      <c r="G15" s="30"/>
      <c r="H15" s="30"/>
      <c r="I15" s="30"/>
      <c r="J15" s="30"/>
      <c r="K15" s="30"/>
    </row>
    <row r="16" spans="1:12" ht="14.15" customHeight="1" x14ac:dyDescent="0.25">
      <c r="A16" s="10"/>
      <c r="B16" s="2" t="s">
        <v>56</v>
      </c>
      <c r="C16" s="20">
        <v>12095.71</v>
      </c>
      <c r="D16" s="20">
        <v>25.81</v>
      </c>
      <c r="E16" s="3">
        <v>8.0799999999999997E-2</v>
      </c>
      <c r="F16" s="30"/>
      <c r="G16" s="30"/>
      <c r="H16" s="30"/>
      <c r="I16" s="30"/>
      <c r="J16" s="30"/>
      <c r="K16" s="30"/>
    </row>
    <row r="17" spans="1:11" ht="14.15" customHeight="1" x14ac:dyDescent="0.25">
      <c r="A17" s="10"/>
      <c r="B17" s="2" t="s">
        <v>57</v>
      </c>
      <c r="C17" s="21">
        <v>12631.63</v>
      </c>
      <c r="D17" s="21">
        <v>26.14</v>
      </c>
      <c r="E17" s="3">
        <v>7.9399999999999998E-2</v>
      </c>
      <c r="F17" s="30"/>
      <c r="G17" s="30"/>
      <c r="H17" s="30"/>
      <c r="I17" s="30"/>
      <c r="J17" s="30"/>
      <c r="K17" s="30"/>
    </row>
    <row r="18" spans="1:11" ht="14.15" customHeight="1" x14ac:dyDescent="0.25">
      <c r="A18" s="10"/>
      <c r="B18" s="2" t="s">
        <v>58</v>
      </c>
      <c r="C18" s="22">
        <v>12200.58</v>
      </c>
      <c r="D18" s="22">
        <v>25.89</v>
      </c>
      <c r="E18" s="3">
        <v>7.8E-2</v>
      </c>
      <c r="F18" s="30"/>
      <c r="G18" s="30"/>
      <c r="H18" s="30"/>
      <c r="I18" s="30"/>
      <c r="J18" s="30"/>
      <c r="K18" s="30"/>
    </row>
    <row r="19" spans="1:11" ht="14.15" customHeight="1" x14ac:dyDescent="0.25">
      <c r="A19" s="10"/>
      <c r="B19" s="2" t="s">
        <v>59</v>
      </c>
      <c r="C19" s="23">
        <v>13144.84</v>
      </c>
      <c r="D19" s="23">
        <v>26.4</v>
      </c>
      <c r="E19" s="3">
        <v>8.4099999999999994E-2</v>
      </c>
      <c r="F19" s="30"/>
      <c r="G19" s="30"/>
      <c r="H19" s="30"/>
      <c r="I19" s="30"/>
      <c r="J19" s="30"/>
      <c r="K19" s="30"/>
    </row>
    <row r="20" spans="1:11" ht="14.15" customHeight="1" x14ac:dyDescent="0.25">
      <c r="A20" s="10"/>
      <c r="B20" s="2" t="s">
        <v>144</v>
      </c>
      <c r="C20" s="24">
        <v>13208.35</v>
      </c>
      <c r="D20" s="24">
        <v>26</v>
      </c>
      <c r="E20" s="3">
        <v>8.4500000000000006E-2</v>
      </c>
      <c r="F20" s="30"/>
      <c r="G20" s="30"/>
      <c r="H20" s="30"/>
      <c r="I20" s="30"/>
      <c r="J20" s="30"/>
      <c r="K20" s="30"/>
    </row>
    <row r="21" spans="1:11" ht="14.15" customHeight="1" x14ac:dyDescent="0.25">
      <c r="A21" s="10"/>
      <c r="B21" s="2" t="s">
        <v>150</v>
      </c>
      <c r="C21" s="26">
        <v>14101.95</v>
      </c>
      <c r="D21" s="26">
        <v>25.96</v>
      </c>
      <c r="E21" s="3">
        <v>8.7099999999999997E-2</v>
      </c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151</v>
      </c>
      <c r="C22" s="27">
        <v>14690.65</v>
      </c>
      <c r="D22" s="27">
        <v>26.1</v>
      </c>
      <c r="E22" s="3">
        <v>9.3899999999999997E-2</v>
      </c>
      <c r="F22" s="12">
        <v>2343</v>
      </c>
      <c r="G22" s="12">
        <v>33.630000000000003</v>
      </c>
      <c r="H22" s="12"/>
      <c r="I22" s="12">
        <v>1785</v>
      </c>
      <c r="J22" s="12">
        <v>16.37</v>
      </c>
      <c r="K22" s="12">
        <f>(F22*G22+I22*J22)/(F22+I22)</f>
        <v>26.166555232558142</v>
      </c>
    </row>
  </sheetData>
  <sortState xmlns:xlrd2="http://schemas.microsoft.com/office/spreadsheetml/2017/richdata2"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workbookViewId="0">
      <selection activeCell="F18" sqref="F18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28" t="s">
        <v>5</v>
      </c>
      <c r="B1" s="28"/>
      <c r="C1" s="28"/>
      <c r="D1" s="28"/>
    </row>
    <row r="2" spans="1:11" x14ac:dyDescent="0.25">
      <c r="A2" s="5" t="s">
        <v>7</v>
      </c>
      <c r="B2" s="29">
        <v>12144.04</v>
      </c>
      <c r="C2" s="29"/>
      <c r="D2" s="29"/>
    </row>
    <row r="3" spans="1:11" x14ac:dyDescent="0.25">
      <c r="A3" s="1" t="s">
        <v>1</v>
      </c>
      <c r="B3" s="31" t="s">
        <v>2</v>
      </c>
      <c r="C3" s="31"/>
      <c r="D3" s="4" t="s">
        <v>0</v>
      </c>
    </row>
    <row r="4" spans="1:11" x14ac:dyDescent="0.25">
      <c r="A4" s="2" t="s">
        <v>43</v>
      </c>
      <c r="B4" s="32">
        <v>-1.49</v>
      </c>
      <c r="C4" s="32"/>
      <c r="D4" s="3">
        <v>0</v>
      </c>
    </row>
    <row r="5" spans="1:11" x14ac:dyDescent="0.25">
      <c r="A5" s="2" t="s">
        <v>51</v>
      </c>
      <c r="B5" s="32">
        <v>-0.06</v>
      </c>
      <c r="C5" s="32"/>
      <c r="D5" s="3">
        <v>-3.0000000000000001E-3</v>
      </c>
    </row>
    <row r="6" spans="1:11" x14ac:dyDescent="0.25">
      <c r="A6" s="2" t="s">
        <v>53</v>
      </c>
      <c r="B6" s="32">
        <v>8.3000000000000007</v>
      </c>
      <c r="C6" s="32"/>
      <c r="D6" s="3">
        <v>3.0000000000000001E-3</v>
      </c>
    </row>
    <row r="7" spans="1:11" x14ac:dyDescent="0.25">
      <c r="A7" s="2" t="s">
        <v>54</v>
      </c>
      <c r="B7" s="32">
        <v>14.52</v>
      </c>
      <c r="C7" s="32"/>
      <c r="D7" s="3">
        <v>1.1999999999999999E-3</v>
      </c>
    </row>
    <row r="8" spans="1:11" x14ac:dyDescent="0.25">
      <c r="A8" s="2" t="s">
        <v>55</v>
      </c>
      <c r="B8" s="32">
        <v>9.6300000000000008</v>
      </c>
      <c r="C8" s="32"/>
      <c r="D8" s="3">
        <v>5.1000000000000004E-3</v>
      </c>
    </row>
    <row r="9" spans="1:11" x14ac:dyDescent="0.25">
      <c r="A9" s="2" t="s">
        <v>56</v>
      </c>
      <c r="B9" s="32">
        <v>4.66</v>
      </c>
      <c r="C9" s="32"/>
      <c r="D9" s="3">
        <v>4.4999999999999997E-3</v>
      </c>
    </row>
    <row r="10" spans="1:11" x14ac:dyDescent="0.25">
      <c r="A10" s="2" t="s">
        <v>57</v>
      </c>
      <c r="B10" s="32">
        <v>14.48</v>
      </c>
      <c r="C10" s="32"/>
      <c r="D10" s="3">
        <v>1.8E-3</v>
      </c>
    </row>
    <row r="11" spans="1:11" x14ac:dyDescent="0.25">
      <c r="A11" s="2" t="s">
        <v>58</v>
      </c>
      <c r="B11" s="32">
        <v>24.22</v>
      </c>
      <c r="C11" s="32"/>
      <c r="D11" s="3">
        <v>4.4000000000000003E-3</v>
      </c>
    </row>
    <row r="12" spans="1:11" ht="14.15" customHeight="1" x14ac:dyDescent="0.25">
      <c r="A12" s="2" t="s">
        <v>59</v>
      </c>
      <c r="B12" s="32">
        <v>51.62</v>
      </c>
      <c r="C12" s="32"/>
      <c r="D12" s="3">
        <v>7.3000000000000001E-3</v>
      </c>
    </row>
    <row r="13" spans="1:11" ht="14.15" customHeight="1" x14ac:dyDescent="0.25">
      <c r="A13" s="2" t="s">
        <v>144</v>
      </c>
      <c r="B13" s="32">
        <v>72.09</v>
      </c>
      <c r="C13" s="32"/>
      <c r="D13" s="3">
        <v>6.8999999999999999E-3</v>
      </c>
      <c r="K13" s="11"/>
    </row>
    <row r="14" spans="1:11" ht="14.15" customHeight="1" x14ac:dyDescent="0.25">
      <c r="A14" s="2" t="s">
        <v>149</v>
      </c>
      <c r="B14" s="32">
        <v>76.31</v>
      </c>
      <c r="C14" s="32"/>
      <c r="D14" s="3">
        <v>7.0000000000000001E-3</v>
      </c>
    </row>
    <row r="15" spans="1:11" ht="14.15" customHeight="1" x14ac:dyDescent="0.25">
      <c r="A15" s="2" t="s">
        <v>151</v>
      </c>
      <c r="B15" s="32">
        <v>134.65</v>
      </c>
      <c r="C15" s="32"/>
      <c r="D15" s="3">
        <v>1.12E-2</v>
      </c>
    </row>
    <row r="16" spans="1:11" ht="14.15" customHeight="1" x14ac:dyDescent="0.25">
      <c r="A16" s="2"/>
      <c r="B16" s="32"/>
      <c r="C16" s="32"/>
      <c r="D16" s="3"/>
    </row>
    <row r="17" spans="1:4" ht="14.15" customHeight="1" x14ac:dyDescent="0.25">
      <c r="A17" s="2"/>
      <c r="B17" s="32"/>
      <c r="C17" s="32"/>
      <c r="D17" s="3"/>
    </row>
    <row r="18" spans="1:4" ht="14.15" customHeight="1" x14ac:dyDescent="0.25">
      <c r="A18" s="2"/>
      <c r="B18" s="32"/>
      <c r="C18" s="32"/>
      <c r="D18" s="3"/>
    </row>
    <row r="19" spans="1:4" ht="14.15" customHeight="1" x14ac:dyDescent="0.25">
      <c r="A19" s="2"/>
      <c r="B19" s="32"/>
      <c r="C19" s="32"/>
      <c r="D19" s="3"/>
    </row>
    <row r="20" spans="1:4" ht="14.15" customHeight="1" x14ac:dyDescent="0.25"/>
  </sheetData>
  <mergeCells count="19">
    <mergeCell ref="B13:C13"/>
    <mergeCell ref="B5:C5"/>
    <mergeCell ref="B7:C7"/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abSelected="1" topLeftCell="A17" zoomScale="110" zoomScaleNormal="110" workbookViewId="0">
      <selection activeCell="K32" sqref="K32"/>
    </sheetView>
  </sheetViews>
  <sheetFormatPr defaultRowHeight="14" x14ac:dyDescent="0.25"/>
  <cols>
    <col min="2" max="2" width="30.90625" bestFit="1" customWidth="1"/>
    <col min="3" max="3" width="9.26953125" bestFit="1" customWidth="1"/>
    <col min="5" max="5" width="11.36328125" bestFit="1" customWidth="1"/>
    <col min="6" max="6" width="13.453125" bestFit="1" customWidth="1"/>
    <col min="7" max="7" width="9.26953125" bestFit="1" customWidth="1"/>
  </cols>
  <sheetData>
    <row r="1" spans="1:7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64</v>
      </c>
      <c r="F1" s="15" t="s">
        <v>148</v>
      </c>
      <c r="G1" s="15"/>
    </row>
    <row r="2" spans="1:7" x14ac:dyDescent="0.25">
      <c r="A2" s="25" t="s">
        <v>65</v>
      </c>
      <c r="B2" t="s">
        <v>66</v>
      </c>
      <c r="C2" t="s">
        <v>67</v>
      </c>
      <c r="D2">
        <v>44854</v>
      </c>
      <c r="E2" s="16">
        <v>0.90039999999999998</v>
      </c>
      <c r="F2" s="16"/>
    </row>
    <row r="3" spans="1:7" x14ac:dyDescent="0.25">
      <c r="A3" s="25" t="s">
        <v>68</v>
      </c>
      <c r="B3" t="s">
        <v>69</v>
      </c>
      <c r="C3" t="s">
        <v>67</v>
      </c>
      <c r="D3">
        <v>24586</v>
      </c>
      <c r="E3" s="16">
        <v>0.69120000000000004</v>
      </c>
      <c r="F3" s="16"/>
    </row>
    <row r="4" spans="1:7" x14ac:dyDescent="0.25">
      <c r="A4" s="25" t="s">
        <v>70</v>
      </c>
      <c r="B4" t="s">
        <v>71</v>
      </c>
      <c r="C4" t="s">
        <v>72</v>
      </c>
      <c r="D4">
        <v>5317</v>
      </c>
      <c r="E4" s="16">
        <v>0.14810000000000001</v>
      </c>
      <c r="F4" s="16">
        <v>0.44259999999999999</v>
      </c>
    </row>
    <row r="5" spans="1:7" x14ac:dyDescent="0.25">
      <c r="A5" s="25" t="s">
        <v>73</v>
      </c>
      <c r="B5" t="s">
        <v>74</v>
      </c>
      <c r="C5" t="s">
        <v>75</v>
      </c>
      <c r="D5">
        <v>4761</v>
      </c>
      <c r="E5" s="16">
        <v>0.64</v>
      </c>
      <c r="F5" s="16">
        <v>0.24179999999999999</v>
      </c>
    </row>
    <row r="6" spans="1:7" x14ac:dyDescent="0.25">
      <c r="A6" s="25" t="s">
        <v>76</v>
      </c>
      <c r="B6" t="s">
        <v>77</v>
      </c>
      <c r="C6" t="s">
        <v>78</v>
      </c>
      <c r="D6">
        <v>4047</v>
      </c>
      <c r="E6" s="16">
        <v>4.36E-2</v>
      </c>
      <c r="F6" s="16">
        <v>0.47339999999999999</v>
      </c>
    </row>
    <row r="7" spans="1:7" x14ac:dyDescent="0.25">
      <c r="A7" s="25" t="s">
        <v>79</v>
      </c>
      <c r="B7" t="s">
        <v>80</v>
      </c>
      <c r="C7" t="s">
        <v>81</v>
      </c>
      <c r="D7">
        <v>3528</v>
      </c>
      <c r="E7" s="16">
        <v>0.1152</v>
      </c>
      <c r="F7" s="16">
        <v>0.45450000000000002</v>
      </c>
    </row>
    <row r="8" spans="1:7" x14ac:dyDescent="0.25">
      <c r="A8" s="25" t="s">
        <v>82</v>
      </c>
      <c r="B8" t="s">
        <v>83</v>
      </c>
      <c r="C8" t="s">
        <v>84</v>
      </c>
      <c r="D8">
        <v>3037</v>
      </c>
      <c r="E8" s="16">
        <v>0.53869999999999996</v>
      </c>
      <c r="F8" s="16">
        <v>0.57589999999999997</v>
      </c>
    </row>
    <row r="9" spans="1:7" x14ac:dyDescent="0.25">
      <c r="A9" s="25" t="s">
        <v>85</v>
      </c>
      <c r="B9" t="s">
        <v>86</v>
      </c>
      <c r="C9" t="s">
        <v>78</v>
      </c>
      <c r="D9">
        <v>2387</v>
      </c>
      <c r="E9" s="16">
        <v>0.83460000000000001</v>
      </c>
      <c r="F9" s="16">
        <v>0.56789999999999996</v>
      </c>
    </row>
    <row r="10" spans="1:7" x14ac:dyDescent="0.25">
      <c r="A10" s="25" t="s">
        <v>87</v>
      </c>
      <c r="B10" t="s">
        <v>88</v>
      </c>
      <c r="C10" t="s">
        <v>89</v>
      </c>
      <c r="D10">
        <v>2274</v>
      </c>
      <c r="E10" s="16">
        <v>8.3699999999999997E-2</v>
      </c>
      <c r="F10" s="16">
        <v>0.40889999999999999</v>
      </c>
    </row>
    <row r="11" spans="1:7" x14ac:dyDescent="0.25">
      <c r="A11" s="25" t="s">
        <v>90</v>
      </c>
      <c r="B11" t="s">
        <v>91</v>
      </c>
      <c r="C11" t="s">
        <v>92</v>
      </c>
      <c r="D11">
        <v>1809</v>
      </c>
      <c r="E11" s="16">
        <v>5.6500000000000002E-2</v>
      </c>
      <c r="F11" s="16">
        <v>0.70250000000000001</v>
      </c>
    </row>
    <row r="12" spans="1:7" x14ac:dyDescent="0.25">
      <c r="A12" s="25" t="s">
        <v>93</v>
      </c>
      <c r="B12" t="s">
        <v>94</v>
      </c>
      <c r="C12" t="s">
        <v>72</v>
      </c>
      <c r="D12">
        <v>1615</v>
      </c>
      <c r="E12" s="16">
        <v>0.4289</v>
      </c>
      <c r="F12" s="16">
        <v>0.55430000000000001</v>
      </c>
    </row>
    <row r="13" spans="1:7" x14ac:dyDescent="0.25">
      <c r="A13" s="25" t="s">
        <v>95</v>
      </c>
      <c r="B13" t="s">
        <v>96</v>
      </c>
      <c r="C13" t="s">
        <v>97</v>
      </c>
      <c r="D13">
        <v>1355</v>
      </c>
      <c r="E13" s="16">
        <v>0.1487</v>
      </c>
      <c r="F13" s="16">
        <v>0.37340000000000001</v>
      </c>
    </row>
    <row r="14" spans="1:7" x14ac:dyDescent="0.25">
      <c r="A14" s="25" t="s">
        <v>98</v>
      </c>
      <c r="B14" s="16" t="s">
        <v>99</v>
      </c>
      <c r="C14" s="16" t="s">
        <v>100</v>
      </c>
      <c r="D14">
        <v>870</v>
      </c>
      <c r="E14" s="16">
        <v>0.3054</v>
      </c>
      <c r="F14" s="16">
        <v>0.35010000000000002</v>
      </c>
    </row>
    <row r="15" spans="1:7" x14ac:dyDescent="0.25">
      <c r="A15" s="25" t="s">
        <v>107</v>
      </c>
      <c r="B15" s="16" t="s">
        <v>108</v>
      </c>
      <c r="C15" s="16" t="s">
        <v>109</v>
      </c>
      <c r="D15">
        <v>723</v>
      </c>
      <c r="E15" s="16">
        <v>0.13969999999999999</v>
      </c>
      <c r="F15" s="16">
        <v>0.52429999999999999</v>
      </c>
    </row>
    <row r="16" spans="1:7" x14ac:dyDescent="0.25">
      <c r="A16" s="25" t="s">
        <v>101</v>
      </c>
      <c r="B16" t="s">
        <v>102</v>
      </c>
      <c r="C16" t="s">
        <v>103</v>
      </c>
      <c r="D16">
        <v>720</v>
      </c>
      <c r="E16" s="16">
        <v>0.28949999999999998</v>
      </c>
      <c r="F16" s="16">
        <v>0.58589999999999998</v>
      </c>
    </row>
    <row r="17" spans="1:6" x14ac:dyDescent="0.25">
      <c r="A17" s="25" t="s">
        <v>104</v>
      </c>
      <c r="B17" t="s">
        <v>105</v>
      </c>
      <c r="C17" t="s">
        <v>106</v>
      </c>
      <c r="D17">
        <v>691</v>
      </c>
      <c r="E17" s="16">
        <v>7.7399999999999997E-2</v>
      </c>
      <c r="F17" s="16">
        <v>0.46889999999999998</v>
      </c>
    </row>
    <row r="18" spans="1:6" x14ac:dyDescent="0.25">
      <c r="A18" s="25" t="s">
        <v>110</v>
      </c>
      <c r="B18" t="s">
        <v>111</v>
      </c>
      <c r="C18" t="s">
        <v>112</v>
      </c>
      <c r="D18">
        <v>671</v>
      </c>
      <c r="E18" s="16">
        <v>0.61729999999999996</v>
      </c>
      <c r="F18" s="16">
        <v>0.41980000000000001</v>
      </c>
    </row>
    <row r="19" spans="1:6" x14ac:dyDescent="0.25">
      <c r="A19" s="25" t="s">
        <v>113</v>
      </c>
      <c r="B19" t="s">
        <v>114</v>
      </c>
      <c r="C19" t="s">
        <v>115</v>
      </c>
      <c r="D19">
        <v>594</v>
      </c>
      <c r="E19" s="16">
        <v>0.29260000000000003</v>
      </c>
      <c r="F19" s="16">
        <v>0.45290000000000002</v>
      </c>
    </row>
    <row r="20" spans="1:6" x14ac:dyDescent="0.25">
      <c r="A20" s="25" t="s">
        <v>116</v>
      </c>
      <c r="B20" s="16" t="s">
        <v>99</v>
      </c>
      <c r="C20" s="16" t="s">
        <v>100</v>
      </c>
      <c r="D20">
        <v>510</v>
      </c>
      <c r="E20" s="16">
        <v>0.3054</v>
      </c>
      <c r="F20" s="16">
        <v>0.35010000000000002</v>
      </c>
    </row>
    <row r="21" spans="1:6" x14ac:dyDescent="0.25">
      <c r="A21" s="25" t="s">
        <v>117</v>
      </c>
      <c r="B21" t="s">
        <v>118</v>
      </c>
      <c r="C21" t="s">
        <v>119</v>
      </c>
      <c r="D21">
        <v>482</v>
      </c>
      <c r="E21" s="16">
        <v>3.0000000000000001E-3</v>
      </c>
      <c r="F21" s="16">
        <v>0.61419999999999997</v>
      </c>
    </row>
    <row r="22" spans="1:6" x14ac:dyDescent="0.25">
      <c r="A22" s="25" t="s">
        <v>120</v>
      </c>
      <c r="B22" t="s">
        <v>121</v>
      </c>
      <c r="C22" s="16" t="s">
        <v>122</v>
      </c>
      <c r="D22">
        <v>329</v>
      </c>
      <c r="E22" s="16">
        <v>0.22270000000000001</v>
      </c>
      <c r="F22" s="16">
        <v>0.46539999999999998</v>
      </c>
    </row>
    <row r="23" spans="1:6" x14ac:dyDescent="0.25">
      <c r="A23" s="25" t="s">
        <v>126</v>
      </c>
      <c r="B23" t="s">
        <v>127</v>
      </c>
      <c r="C23" t="s">
        <v>128</v>
      </c>
      <c r="D23">
        <v>243</v>
      </c>
      <c r="E23" s="16">
        <v>0.56579999999999997</v>
      </c>
      <c r="F23" s="16">
        <v>0.38379999999999997</v>
      </c>
    </row>
    <row r="24" spans="1:6" x14ac:dyDescent="0.25">
      <c r="A24" s="25" t="s">
        <v>123</v>
      </c>
      <c r="B24" t="s">
        <v>124</v>
      </c>
      <c r="C24" s="16" t="s">
        <v>125</v>
      </c>
      <c r="D24">
        <v>238</v>
      </c>
      <c r="E24" s="16">
        <v>0.66259999999999997</v>
      </c>
      <c r="F24" s="16">
        <v>0.35560000000000003</v>
      </c>
    </row>
    <row r="25" spans="1:6" x14ac:dyDescent="0.25">
      <c r="A25" s="25" t="s">
        <v>129</v>
      </c>
      <c r="B25" t="s">
        <v>130</v>
      </c>
      <c r="C25" t="s">
        <v>131</v>
      </c>
      <c r="D25">
        <v>177</v>
      </c>
      <c r="E25" s="16">
        <v>7.3099999999999998E-2</v>
      </c>
      <c r="F25" s="16">
        <v>0.67710000000000004</v>
      </c>
    </row>
    <row r="26" spans="1:6" x14ac:dyDescent="0.25">
      <c r="A26" s="25" t="s">
        <v>132</v>
      </c>
      <c r="B26" t="s">
        <v>133</v>
      </c>
      <c r="C26" t="s">
        <v>134</v>
      </c>
      <c r="D26">
        <v>133</v>
      </c>
      <c r="E26" s="16">
        <v>0.26529999999999998</v>
      </c>
      <c r="F26" s="16">
        <v>0.52059999999999995</v>
      </c>
    </row>
    <row r="27" spans="1:6" x14ac:dyDescent="0.25">
      <c r="A27" s="25" t="s">
        <v>135</v>
      </c>
      <c r="B27" t="s">
        <v>136</v>
      </c>
      <c r="C27" t="s">
        <v>137</v>
      </c>
      <c r="D27">
        <v>89</v>
      </c>
      <c r="E27" s="16">
        <v>0.76180000000000003</v>
      </c>
      <c r="F27" s="16">
        <v>0.33350000000000002</v>
      </c>
    </row>
    <row r="28" spans="1:6" x14ac:dyDescent="0.25">
      <c r="A28" s="25" t="s">
        <v>138</v>
      </c>
      <c r="B28" t="s">
        <v>139</v>
      </c>
      <c r="C28" t="s">
        <v>140</v>
      </c>
      <c r="D28">
        <v>75</v>
      </c>
      <c r="E28" s="16">
        <v>6.59E-2</v>
      </c>
      <c r="F28" s="16">
        <v>0.65329999999999999</v>
      </c>
    </row>
    <row r="29" spans="1:6" x14ac:dyDescent="0.25">
      <c r="A29" s="25" t="s">
        <v>145</v>
      </c>
      <c r="B29" t="s">
        <v>146</v>
      </c>
      <c r="C29" t="s">
        <v>147</v>
      </c>
      <c r="D29">
        <v>20</v>
      </c>
      <c r="E29" s="16">
        <v>0.75549999999999995</v>
      </c>
      <c r="F29" s="16">
        <v>0.74129999999999996</v>
      </c>
    </row>
    <row r="30" spans="1:6" x14ac:dyDescent="0.25">
      <c r="A30" s="25" t="s">
        <v>141</v>
      </c>
      <c r="B30" t="s">
        <v>142</v>
      </c>
      <c r="C30" t="s">
        <v>143</v>
      </c>
      <c r="D30">
        <v>20</v>
      </c>
      <c r="E30" s="16">
        <v>0.12529999999999999</v>
      </c>
      <c r="F30" s="16">
        <v>0.70030000000000003</v>
      </c>
    </row>
  </sheetData>
  <sortState xmlns:xlrd2="http://schemas.microsoft.com/office/spreadsheetml/2017/richdata2" ref="A2:F30">
    <sortCondition descending="1" ref="D1:D30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14</v>
      </c>
      <c r="I3" t="s">
        <v>29</v>
      </c>
    </row>
    <row r="4" spans="3:9" x14ac:dyDescent="0.25">
      <c r="C4" t="s">
        <v>15</v>
      </c>
      <c r="I4" t="s">
        <v>30</v>
      </c>
    </row>
    <row r="5" spans="3:9" x14ac:dyDescent="0.25">
      <c r="C5" t="s">
        <v>16</v>
      </c>
      <c r="I5" t="s">
        <v>31</v>
      </c>
    </row>
    <row r="6" spans="3:9" x14ac:dyDescent="0.25">
      <c r="C6" t="s">
        <v>17</v>
      </c>
      <c r="I6" t="s">
        <v>32</v>
      </c>
    </row>
    <row r="7" spans="3:9" x14ac:dyDescent="0.25">
      <c r="C7" t="s">
        <v>18</v>
      </c>
      <c r="I7" t="s">
        <v>33</v>
      </c>
    </row>
    <row r="8" spans="3:9" x14ac:dyDescent="0.25">
      <c r="C8" t="s">
        <v>19</v>
      </c>
      <c r="I8" t="s">
        <v>34</v>
      </c>
    </row>
    <row r="9" spans="3:9" x14ac:dyDescent="0.25">
      <c r="C9" t="s">
        <v>20</v>
      </c>
      <c r="I9" t="s">
        <v>35</v>
      </c>
    </row>
    <row r="10" spans="3:9" x14ac:dyDescent="0.25">
      <c r="C10" t="s">
        <v>21</v>
      </c>
      <c r="I10" t="s">
        <v>36</v>
      </c>
    </row>
    <row r="11" spans="3:9" x14ac:dyDescent="0.25">
      <c r="C11" t="s">
        <v>22</v>
      </c>
      <c r="I11" t="s">
        <v>37</v>
      </c>
    </row>
    <row r="12" spans="3:9" x14ac:dyDescent="0.25">
      <c r="C12" t="s">
        <v>23</v>
      </c>
    </row>
    <row r="13" spans="3:9" x14ac:dyDescent="0.25">
      <c r="C13" t="s">
        <v>24</v>
      </c>
    </row>
    <row r="14" spans="3:9" x14ac:dyDescent="0.25">
      <c r="C14" t="s">
        <v>25</v>
      </c>
    </row>
    <row r="15" spans="3:9" x14ac:dyDescent="0.25">
      <c r="C15" t="s">
        <v>26</v>
      </c>
    </row>
    <row r="16" spans="3:9" x14ac:dyDescent="0.25">
      <c r="C16" t="s">
        <v>27</v>
      </c>
    </row>
    <row r="17" spans="3:3" x14ac:dyDescent="0.25">
      <c r="C17" t="s">
        <v>28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H9" sqref="H9"/>
    </sheetView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动平衡策略</vt:lpstr>
      <vt:lpstr>日定投策略</vt:lpstr>
      <vt:lpstr>投资总结</vt:lpstr>
      <vt:lpstr>投资准则</vt:lpstr>
      <vt:lpstr>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2020-12-26T08:12:08Z</dcterms:modified>
</cp:coreProperties>
</file>