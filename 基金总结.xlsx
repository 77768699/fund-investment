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FE3B71B7-4630-47E5-BF11-4FDB68AD175E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  <sheet name="草稿" sheetId="7" r:id="rId5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<sst xmlns="http://schemas.openxmlformats.org/spreadsheetml/2006/main" count="173" uniqueCount="152">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</sst>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2020/11/12</c:v>
                </c:pt>
                <c:pt idx="11">
                  <c:v>2020/11/15</c:v>
                </c:pt>
                <c:pt idx="12">
                  <c:v>2020/11/21</c:v>
                </c:pt>
                <c:pt idx="13">
                  <c:v>2020/11/29</c:v>
                </c:pt>
                <c:pt idx="14">
                  <c:v>2020/12/06</c:v>
                </c:pt>
                <c:pt idx="15">
                  <c:v>2020/12/20</c:v>
                </c:pt>
                <c:pt idx="16">
                  <c:v>2020/12/22</c:v>
                </c:pt>
                <c:pt idx="17">
                  <c:v>2020/12/26</c:v>
                </c:pt>
              </c:strCache>
            </c:strRef>
          </c:cat>
          <c:val>
            <c:numRef>
              <c:f>动平衡策略!$E$5:$E$22</c:f>
              <c:numCache>
                <c:formatCode>0.00%</c:formatCode>
                <c:ptCount val="18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8.1600000000000006E-2</c:v>
                </c:pt>
                <c:pt idx="11">
                  <c:v>8.0799999999999997E-2</c:v>
                </c:pt>
                <c:pt idx="12">
                  <c:v>7.9399999999999998E-2</c:v>
                </c:pt>
                <c:pt idx="13">
                  <c:v>7.8E-2</c:v>
                </c:pt>
                <c:pt idx="14">
                  <c:v>8.4099999999999994E-2</c:v>
                </c:pt>
                <c:pt idx="15">
                  <c:v>8.4500000000000006E-2</c:v>
                </c:pt>
                <c:pt idx="16">
                  <c:v>8.7099999999999997E-2</c:v>
                </c:pt>
                <c:pt idx="17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11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zoomScale="90" zoomScaleNormal="90" workbookViewId="0">
      <selection activeCell="L7" sqref="L7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28" t="s">
        <v>5</v>
      </c>
      <c r="C1" s="28"/>
      <c r="D1" s="28"/>
      <c r="E1" s="28"/>
    </row>
    <row r="2" spans="1:12" x14ac:dyDescent="0.25">
      <c r="A2" s="10">
        <v>44854.87</v>
      </c>
      <c r="B2" s="5" t="s">
        <v>7</v>
      </c>
      <c r="C2" s="29">
        <v>106282.97</v>
      </c>
      <c r="D2" s="29"/>
      <c r="E2" s="29"/>
    </row>
    <row r="3" spans="1:12" x14ac:dyDescent="0.25">
      <c r="A3" s="10">
        <v>24586.1</v>
      </c>
      <c r="B3" s="5" t="s">
        <v>8</v>
      </c>
      <c r="C3" s="9">
        <f>SUM(A2:A13)</f>
        <v>69440.97</v>
      </c>
      <c r="D3" s="5" t="s">
        <v>9</v>
      </c>
      <c r="E3" s="6">
        <f>C2-E2-C3</f>
        <v>36842</v>
      </c>
    </row>
    <row r="4" spans="1:12" x14ac:dyDescent="0.25">
      <c r="A4" s="10"/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26.166555232558142</v>
      </c>
      <c r="G14">
        <v>16</v>
      </c>
      <c r="H14">
        <v>26.5</v>
      </c>
      <c r="I14">
        <f>E3/C2</f>
        <v>0.34664067065495063</v>
      </c>
      <c r="J14">
        <f>IF(((H14-F14)/(H14-G14))&lt;0,0,((H14-F14)/(H14-G14)))*0.7+0.3</f>
        <v>0.32222965116279051</v>
      </c>
      <c r="K14" s="14">
        <f>(C2*J14-E3)*J14</f>
        <v>-836.01698440859786</v>
      </c>
      <c r="L14" s="11"/>
    </row>
    <row r="15" spans="1:12" ht="14.15" customHeight="1" x14ac:dyDescent="0.25">
      <c r="A15" s="10"/>
      <c r="B15" s="2" t="s">
        <v>55</v>
      </c>
      <c r="C15" s="19">
        <v>12181.32</v>
      </c>
      <c r="D15" s="19">
        <v>25.93</v>
      </c>
      <c r="E15" s="3">
        <v>8.1600000000000006E-2</v>
      </c>
      <c r="F15" s="30" t="s">
        <v>44</v>
      </c>
      <c r="G15" s="30"/>
      <c r="H15" s="30"/>
      <c r="I15" s="30"/>
      <c r="J15" s="30"/>
      <c r="K15" s="30"/>
    </row>
    <row r="16" spans="1:12" ht="14.15" customHeight="1" x14ac:dyDescent="0.25">
      <c r="A16" s="10"/>
      <c r="B16" s="2" t="s">
        <v>56</v>
      </c>
      <c r="C16" s="20">
        <v>12095.71</v>
      </c>
      <c r="D16" s="20">
        <v>25.81</v>
      </c>
      <c r="E16" s="3">
        <v>8.0799999999999997E-2</v>
      </c>
      <c r="F16" s="30"/>
      <c r="G16" s="30"/>
      <c r="H16" s="30"/>
      <c r="I16" s="30"/>
      <c r="J16" s="30"/>
      <c r="K16" s="30"/>
    </row>
    <row r="17" spans="1:11" ht="14.15" customHeight="1" x14ac:dyDescent="0.25">
      <c r="A17" s="10"/>
      <c r="B17" s="2" t="s">
        <v>57</v>
      </c>
      <c r="C17" s="21">
        <v>12631.63</v>
      </c>
      <c r="D17" s="21">
        <v>26.14</v>
      </c>
      <c r="E17" s="3">
        <v>7.9399999999999998E-2</v>
      </c>
      <c r="F17" s="30"/>
      <c r="G17" s="30"/>
      <c r="H17" s="30"/>
      <c r="I17" s="30"/>
      <c r="J17" s="30"/>
      <c r="K17" s="30"/>
    </row>
    <row r="18" spans="1:11" ht="14.15" customHeight="1" x14ac:dyDescent="0.25">
      <c r="A18" s="10"/>
      <c r="B18" s="2" t="s">
        <v>58</v>
      </c>
      <c r="C18" s="22">
        <v>12200.58</v>
      </c>
      <c r="D18" s="22">
        <v>25.89</v>
      </c>
      <c r="E18" s="3">
        <v>7.8E-2</v>
      </c>
      <c r="F18" s="30"/>
      <c r="G18" s="30"/>
      <c r="H18" s="30"/>
      <c r="I18" s="30"/>
      <c r="J18" s="30"/>
      <c r="K18" s="30"/>
    </row>
    <row r="19" spans="1:11" ht="14.15" customHeight="1" x14ac:dyDescent="0.25">
      <c r="A19" s="10"/>
      <c r="B19" s="2" t="s">
        <v>59</v>
      </c>
      <c r="C19" s="23">
        <v>13144.84</v>
      </c>
      <c r="D19" s="23">
        <v>26.4</v>
      </c>
      <c r="E19" s="3">
        <v>8.4099999999999994E-2</v>
      </c>
      <c r="F19" s="30"/>
      <c r="G19" s="30"/>
      <c r="H19" s="30"/>
      <c r="I19" s="30"/>
      <c r="J19" s="30"/>
      <c r="K19" s="30"/>
    </row>
    <row r="20" spans="1:11" ht="14.15" customHeight="1" x14ac:dyDescent="0.25">
      <c r="A20" s="10"/>
      <c r="B20" s="2" t="s">
        <v>144</v>
      </c>
      <c r="C20" s="24">
        <v>13208.35</v>
      </c>
      <c r="D20" s="24">
        <v>26</v>
      </c>
      <c r="E20" s="3">
        <v>8.4500000000000006E-2</v>
      </c>
      <c r="F20" s="30"/>
      <c r="G20" s="30"/>
      <c r="H20" s="30"/>
      <c r="I20" s="30"/>
      <c r="J20" s="30"/>
      <c r="K20" s="30"/>
    </row>
    <row r="21" spans="1:11" ht="14.15" customHeight="1" x14ac:dyDescent="0.25">
      <c r="A21" s="10"/>
      <c r="B21" s="2" t="s">
        <v>150</v>
      </c>
      <c r="C21" s="26">
        <v>14101.95</v>
      </c>
      <c r="D21" s="26">
        <v>25.96</v>
      </c>
      <c r="E21" s="3">
        <v>8.7099999999999997E-2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151</v>
      </c>
      <c r="C22" s="27">
        <v>14690.65</v>
      </c>
      <c r="D22" s="27">
        <v>26.1</v>
      </c>
      <c r="E22" s="3">
        <v>9.3899999999999997E-2</v>
      </c>
      <c r="F22" s="12">
        <v>2343</v>
      </c>
      <c r="G22" s="12">
        <v>33.630000000000003</v>
      </c>
      <c r="H22" s="12"/>
      <c r="I22" s="12">
        <v>1785</v>
      </c>
      <c r="J22" s="12">
        <v>16.37</v>
      </c>
      <c r="K22" s="12">
        <f>(F22*G22+I22*J22)/(F22+I22)</f>
        <v>26.166555232558142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F18" sqref="F18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8" t="s">
        <v>5</v>
      </c>
      <c r="B1" s="28"/>
      <c r="C1" s="28"/>
      <c r="D1" s="28"/>
    </row>
    <row r="2" spans="1:11" x14ac:dyDescent="0.25">
      <c r="A2" s="5" t="s">
        <v>7</v>
      </c>
      <c r="B2" s="29">
        <v>12144.04</v>
      </c>
      <c r="C2" s="29"/>
      <c r="D2" s="29"/>
    </row>
    <row r="3" spans="1:11" x14ac:dyDescent="0.25">
      <c r="A3" s="1" t="s">
        <v>1</v>
      </c>
      <c r="B3" s="32" t="s">
        <v>2</v>
      </c>
      <c r="C3" s="32"/>
      <c r="D3" s="4" t="s">
        <v>0</v>
      </c>
    </row>
    <row r="4" spans="1:11" x14ac:dyDescent="0.25">
      <c r="A4" s="2" t="s">
        <v>43</v>
      </c>
      <c r="B4" s="31">
        <v>-1.49</v>
      </c>
      <c r="C4" s="31"/>
      <c r="D4" s="3">
        <v>0</v>
      </c>
    </row>
    <row r="5" spans="1:11" x14ac:dyDescent="0.25">
      <c r="A5" s="2" t="s">
        <v>51</v>
      </c>
      <c r="B5" s="31">
        <v>-0.06</v>
      </c>
      <c r="C5" s="31"/>
      <c r="D5" s="3">
        <v>-3.0000000000000001E-3</v>
      </c>
    </row>
    <row r="6" spans="1:11" x14ac:dyDescent="0.25">
      <c r="A6" s="2" t="s">
        <v>53</v>
      </c>
      <c r="B6" s="31">
        <v>8.3000000000000007</v>
      </c>
      <c r="C6" s="31"/>
      <c r="D6" s="3">
        <v>3.0000000000000001E-3</v>
      </c>
    </row>
    <row r="7" spans="1:11" x14ac:dyDescent="0.25">
      <c r="A7" s="2" t="s">
        <v>54</v>
      </c>
      <c r="B7" s="31">
        <v>14.52</v>
      </c>
      <c r="C7" s="31"/>
      <c r="D7" s="3">
        <v>1.1999999999999999E-3</v>
      </c>
    </row>
    <row r="8" spans="1:11" x14ac:dyDescent="0.25">
      <c r="A8" s="2" t="s">
        <v>55</v>
      </c>
      <c r="B8" s="31">
        <v>9.6300000000000008</v>
      </c>
      <c r="C8" s="31"/>
      <c r="D8" s="3">
        <v>5.1000000000000004E-3</v>
      </c>
    </row>
    <row r="9" spans="1:11" x14ac:dyDescent="0.25">
      <c r="A9" s="2" t="s">
        <v>56</v>
      </c>
      <c r="B9" s="31">
        <v>4.66</v>
      </c>
      <c r="C9" s="31"/>
      <c r="D9" s="3">
        <v>4.4999999999999997E-3</v>
      </c>
    </row>
    <row r="10" spans="1:11" x14ac:dyDescent="0.25">
      <c r="A10" s="2" t="s">
        <v>57</v>
      </c>
      <c r="B10" s="31">
        <v>14.48</v>
      </c>
      <c r="C10" s="31"/>
      <c r="D10" s="3">
        <v>1.8E-3</v>
      </c>
    </row>
    <row r="11" spans="1:11" x14ac:dyDescent="0.25">
      <c r="A11" s="2" t="s">
        <v>58</v>
      </c>
      <c r="B11" s="31">
        <v>24.22</v>
      </c>
      <c r="C11" s="31"/>
      <c r="D11" s="3">
        <v>4.4000000000000003E-3</v>
      </c>
    </row>
    <row r="12" spans="1:11" ht="14.15" customHeight="1" x14ac:dyDescent="0.25">
      <c r="A12" s="2" t="s">
        <v>59</v>
      </c>
      <c r="B12" s="31">
        <v>51.62</v>
      </c>
      <c r="C12" s="31"/>
      <c r="D12" s="3">
        <v>7.3000000000000001E-3</v>
      </c>
    </row>
    <row r="13" spans="1:11" ht="14.15" customHeight="1" x14ac:dyDescent="0.25">
      <c r="A13" s="2" t="s">
        <v>144</v>
      </c>
      <c r="B13" s="31">
        <v>72.09</v>
      </c>
      <c r="C13" s="31"/>
      <c r="D13" s="3">
        <v>6.8999999999999999E-3</v>
      </c>
      <c r="K13" s="11"/>
    </row>
    <row r="14" spans="1:11" ht="14.15" customHeight="1" x14ac:dyDescent="0.25">
      <c r="A14" s="2" t="s">
        <v>149</v>
      </c>
      <c r="B14" s="31">
        <v>76.31</v>
      </c>
      <c r="C14" s="31"/>
      <c r="D14" s="3">
        <v>7.0000000000000001E-3</v>
      </c>
    </row>
    <row r="15" spans="1:11" ht="14.15" customHeight="1" x14ac:dyDescent="0.25">
      <c r="A15" s="2" t="s">
        <v>151</v>
      </c>
      <c r="B15" s="31">
        <v>134.65</v>
      </c>
      <c r="C15" s="31"/>
      <c r="D15" s="3">
        <v>1.12E-2</v>
      </c>
    </row>
    <row r="16" spans="1:11" ht="14.15" customHeight="1" x14ac:dyDescent="0.25">
      <c r="A16" s="2"/>
      <c r="B16" s="31"/>
      <c r="C16" s="31"/>
      <c r="D16" s="3"/>
    </row>
    <row r="17" spans="1:4" ht="14.15" customHeight="1" x14ac:dyDescent="0.25">
      <c r="A17" s="2"/>
      <c r="B17" s="31"/>
      <c r="C17" s="31"/>
      <c r="D17" s="3"/>
    </row>
    <row r="18" spans="1:4" ht="14.15" customHeight="1" x14ac:dyDescent="0.25">
      <c r="A18" s="2"/>
      <c r="B18" s="31"/>
      <c r="C18" s="31"/>
      <c r="D18" s="3"/>
    </row>
    <row r="19" spans="1:4" ht="14.15" customHeight="1" x14ac:dyDescent="0.25">
      <c r="A19" s="2"/>
      <c r="B19" s="31"/>
      <c r="C19" s="31"/>
      <c r="D19" s="3"/>
    </row>
    <row r="20" spans="1:4" ht="14.15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14" zoomScale="110" zoomScaleNormal="110" workbookViewId="0">
      <selection activeCell="K32" sqref="K32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5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5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5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5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5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5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5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5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5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5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5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5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5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5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5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5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5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5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5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5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5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5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5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5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5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5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5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5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5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动平衡策略</vt:lpstr>
      <vt:lpstr>日定投策略</vt:lpstr>
      <vt:lpstr>投资总结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2020-12-27T09:00:52Z</dcterms:modified>
</cp:coreProperties>
</file>