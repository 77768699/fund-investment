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328"/>
  <workbookPr filterPrivacy="1" defaultThemeVersion="124226"/>
  <xr:revisionPtr revIDLastSave="0" documentId="13_ncr:1_{CF3725C9-698C-4519-8643-96D796115D46}" xr6:coauthVersionLast="45" xr6:coauthVersionMax="45" xr10:uidLastSave="{00000000-0000-0000-0000-000000000000}"/>
  <bookViews>
    <workbookView xWindow="2290" yWindow="1160" windowWidth="16910" windowHeight="7990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<sst xmlns="http://schemas.openxmlformats.org/spreadsheetml/2006/main" count="81" uniqueCount="71">
  <si>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</si>
  <si>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</si>
  <si>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</si>
  <si>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</si>
  <si>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</si>
  <si>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2020/7/5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</si>
  <si>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</si>
  <si>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</si>
  <si>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</si>
  <si>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2020/8/2</t>
    <phoneticPr fontId="1" type="noConversion"/>
  </si>
  <si>
    <t>2020/8/9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</si>
  <si>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</si>
  <si>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</si>
  <si>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</si>
  <si>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</si>
  <si>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</si>
  <si>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2020/9/06</t>
    <phoneticPr fontId="1" type="noConversion"/>
  </si>
  <si>
    <t>2020/9/13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</si>
  <si>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</si>
  <si>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</si>
  <si>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</si>
  <si>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</si>
  <si>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</si>
  <si>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</si>
  <si>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</si>
  <si>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</si>
  <si>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</si>
  <si>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</si>
  <si>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</si>
  <si>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</si>
  <si>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</si>
  <si>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</si>
  <si>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</si>
  <si>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</si>
  <si>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</si>
  <si>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</si>
  <si>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</si>
  <si>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</si>
  <si>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</si>
  <si>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</si>
  <si>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</si>
  <si>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</si>
  <si>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</si>
  <si>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</si>
  <si>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</si>
  <si>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</si>
  <si>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</si>
  <si>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</si>
  <si>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2020/10/13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</si>
  <si>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</si>
  <si>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</si>
  <si>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</si>
  <si>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</si>
  <si>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</si>
  <si>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</si>
  <si>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</si>
  <si>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</si>
  <si>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</si>
  <si>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</si>
  <si>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</si>
  <si>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月份</t>
    <phoneticPr fontId="1" type="noConversion"/>
  </si>
  <si>
    <t>上证</t>
    <phoneticPr fontId="1" type="noConversion"/>
  </si>
  <si>
    <t>深证</t>
    <phoneticPr fontId="1" type="noConversion"/>
  </si>
  <si>
    <t>创业</t>
    <phoneticPr fontId="1" type="noConversion"/>
  </si>
  <si>
    <t>九月份</t>
    <phoneticPr fontId="1" type="noConversion"/>
  </si>
  <si>
    <t>十月份</t>
    <phoneticPr fontId="1" type="noConversion"/>
  </si>
  <si>
    <t>收益率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</si>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</sst>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动平衡策略!$B$5:$B$22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2020/7/5</c:v>
                </c:pt>
                <c:pt idx="3">
                  <c:v>2020/7/12</c:v>
                </c:pt>
                <c:pt idx="4">
                  <c:v>2020/7/26</c:v>
                </c:pt>
                <c:pt idx="5">
                  <c:v>2020/8/2</c:v>
                </c:pt>
                <c:pt idx="6">
                  <c:v>2020/8/9</c:v>
                </c:pt>
                <c:pt idx="7">
                  <c:v>2020/8/16</c:v>
                </c:pt>
                <c:pt idx="8">
                  <c:v>2020/8/23</c:v>
                </c:pt>
                <c:pt idx="9">
                  <c:v>2020/9/06</c:v>
                </c:pt>
                <c:pt idx="10">
                  <c:v>2020/9/13</c:v>
                </c:pt>
                <c:pt idx="11">
                  <c:v>2020/9/20</c:v>
                </c:pt>
                <c:pt idx="12">
                  <c:v>2020/9/26</c:v>
                </c:pt>
                <c:pt idx="13">
                  <c:v>2020/9/28</c:v>
                </c:pt>
                <c:pt idx="14">
                  <c:v>2020/10/13</c:v>
                </c:pt>
                <c:pt idx="15">
                  <c:v>2020/10/25</c:v>
                </c:pt>
                <c:pt idx="16">
                  <c:v>2020/10/29</c:v>
                </c:pt>
                <c:pt idx="17">
                  <c:v>2020/11/7</c:v>
                </c:pt>
              </c:strCache>
            </c:strRef>
          </c:cat>
          <c:val>
            <c:numRef>
              <c:f>动平衡策略!$E$5:$E$28</c:f>
              <c:numCache>
                <c:formatCode>0.00%</c:formatCode>
                <c:ptCount val="24"/>
                <c:pt idx="0">
                  <c:v>1.67E-2</c:v>
                </c:pt>
                <c:pt idx="1">
                  <c:v>2.9899999999999999E-2</c:v>
                </c:pt>
                <c:pt idx="2">
                  <c:v>3.56E-2</c:v>
                </c:pt>
                <c:pt idx="3">
                  <c:v>5.2999999999999999E-2</c:v>
                </c:pt>
                <c:pt idx="4">
                  <c:v>5.8700000000000002E-2</c:v>
                </c:pt>
                <c:pt idx="5">
                  <c:v>5.7799999999999997E-2</c:v>
                </c:pt>
                <c:pt idx="6">
                  <c:v>6.4399999999999999E-2</c:v>
                </c:pt>
                <c:pt idx="7">
                  <c:v>5.9200000000000003E-2</c:v>
                </c:pt>
                <c:pt idx="8">
                  <c:v>6.3799999999999996E-2</c:v>
                </c:pt>
                <c:pt idx="9">
                  <c:v>7.17E-2</c:v>
                </c:pt>
                <c:pt idx="10">
                  <c:v>5.7799999999999997E-2</c:v>
                </c:pt>
                <c:pt idx="11">
                  <c:v>6.3200000000000006E-2</c:v>
                </c:pt>
                <c:pt idx="12">
                  <c:v>6.54E-2</c:v>
                </c:pt>
                <c:pt idx="13">
                  <c:v>6.0199999999999997E-2</c:v>
                </c:pt>
                <c:pt idx="14">
                  <c:v>6.2899999999999998E-2</c:v>
                </c:pt>
                <c:pt idx="15">
                  <c:v>7.1900000000000006E-2</c:v>
                </c:pt>
                <c:pt idx="16">
                  <c:v>6.6699999999999995E-2</c:v>
                </c:pt>
                <c:pt idx="17">
                  <c:v>7.6100000000000001E-2</c:v>
                </c:pt>
                <c:pt idx="18">
                  <c:v>8.1600000000000006E-2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4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28574</xdr:colOff>
      <xdr:row>0</xdr:row>
      <xdr:rowOff>9525</xdr:rowOff>
    </xdr:from>
    <xdr:to>
      <xdr:col>9</xdr:col>
      <xdr:colOff>2832100</xdr:colOff>
      <xdr:row>11</xdr:row>
      <xdr:rowOff>12700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topLeftCell="A7" workbookViewId="0">
      <selection activeCell="H24" sqref="H24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47</v>
      </c>
      <c r="B1" s="20" t="s">
        <v>6</v>
      </c>
      <c r="C1" s="20"/>
      <c r="D1" s="20"/>
      <c r="E1" s="20"/>
    </row>
    <row r="2" spans="1:12" x14ac:dyDescent="0.25">
      <c r="A2" s="10">
        <v>44485.8</v>
      </c>
      <c r="B2" s="5" t="s">
        <v>11</v>
      </c>
      <c r="C2" s="21">
        <v>102826.82</v>
      </c>
      <c r="D2" s="21"/>
      <c r="E2" s="21"/>
    </row>
    <row r="3" spans="1:12" x14ac:dyDescent="0.25">
      <c r="A3" s="10">
        <v>416.88</v>
      </c>
      <c r="B3" s="5" t="s">
        <v>12</v>
      </c>
      <c r="C3" s="9">
        <f>SUM(A2:A19)</f>
        <v>66428.41</v>
      </c>
      <c r="D3" s="5" t="s">
        <v>13</v>
      </c>
      <c r="E3" s="6">
        <f>C2-E2-C3</f>
        <v>36398.410000000003</v>
      </c>
    </row>
    <row r="4" spans="1:12" x14ac:dyDescent="0.25">
      <c r="A4" s="10">
        <v>377.99</v>
      </c>
      <c r="B4" s="1" t="s">
        <v>1</v>
      </c>
      <c r="C4" s="18" t="s">
        <v>2</v>
      </c>
      <c r="D4" s="18" t="s">
        <v>57</v>
      </c>
      <c r="E4" s="4" t="s">
        <v>0</v>
      </c>
    </row>
    <row r="5" spans="1:12" x14ac:dyDescent="0.25">
      <c r="A5" s="10">
        <v>21147.74</v>
      </c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5</v>
      </c>
      <c r="C7" s="17">
        <v>5769.18</v>
      </c>
      <c r="D7" s="17"/>
      <c r="E7" s="3">
        <v>3.56E-2</v>
      </c>
    </row>
    <row r="8" spans="1:12" x14ac:dyDescent="0.25">
      <c r="A8" s="10"/>
      <c r="B8" s="2" t="s">
        <v>7</v>
      </c>
      <c r="C8" s="17">
        <v>7855.73</v>
      </c>
      <c r="D8" s="17"/>
      <c r="E8" s="3">
        <v>5.2999999999999999E-2</v>
      </c>
    </row>
    <row r="9" spans="1:12" x14ac:dyDescent="0.25">
      <c r="A9" s="10"/>
      <c r="B9" s="2" t="s">
        <v>8</v>
      </c>
      <c r="C9" s="17">
        <v>7626.98</v>
      </c>
      <c r="D9" s="17"/>
      <c r="E9" s="3">
        <v>5.8700000000000002E-2</v>
      </c>
    </row>
    <row r="10" spans="1:12" x14ac:dyDescent="0.25">
      <c r="A10" s="10"/>
      <c r="B10" s="2" t="s">
        <v>9</v>
      </c>
      <c r="C10" s="17">
        <v>9057.7900000000009</v>
      </c>
      <c r="D10" s="17"/>
      <c r="E10" s="3">
        <v>5.7799999999999997E-2</v>
      </c>
    </row>
    <row r="11" spans="1:12" x14ac:dyDescent="0.25">
      <c r="A11" s="10"/>
      <c r="B11" s="2" t="s">
        <v>10</v>
      </c>
      <c r="C11" s="17">
        <v>9471.3700000000008</v>
      </c>
      <c r="D11" s="17"/>
      <c r="E11" s="3">
        <v>6.4399999999999999E-2</v>
      </c>
    </row>
    <row r="12" spans="1:12" x14ac:dyDescent="0.25">
      <c r="A12" s="10"/>
      <c r="B12" s="2" t="s">
        <v>14</v>
      </c>
      <c r="C12" s="17">
        <v>9451.59</v>
      </c>
      <c r="D12" s="17"/>
      <c r="E12" s="3">
        <v>5.9200000000000003E-2</v>
      </c>
    </row>
    <row r="13" spans="1:12" ht="14" customHeight="1" x14ac:dyDescent="0.25">
      <c r="A13" s="10"/>
      <c r="B13" s="2" t="s">
        <v>15</v>
      </c>
      <c r="C13" s="17">
        <v>9607.81</v>
      </c>
      <c r="D13" s="17"/>
      <c r="E13" s="3">
        <v>6.3799999999999996E-2</v>
      </c>
      <c r="F13" s="8" t="s">
        <v>57</v>
      </c>
      <c r="G13" s="7" t="s">
        <v>49</v>
      </c>
      <c r="H13" s="7" t="s">
        <v>50</v>
      </c>
      <c r="I13" s="7" t="s">
        <v>18</v>
      </c>
      <c r="J13" s="7" t="s">
        <v>20</v>
      </c>
      <c r="K13" s="8" t="s">
        <v>58</v>
      </c>
    </row>
    <row r="14" spans="1:12" ht="14" customHeight="1" x14ac:dyDescent="0.25">
      <c r="A14" s="10"/>
      <c r="B14" s="2" t="s">
        <v>16</v>
      </c>
      <c r="C14" s="17">
        <v>10621</v>
      </c>
      <c r="D14" s="17"/>
      <c r="E14" s="3">
        <v>7.17E-2</v>
      </c>
      <c r="F14" s="13">
        <f>$K$22</f>
        <v>25.925073601570169</v>
      </c>
      <c r="G14">
        <v>16</v>
      </c>
      <c r="H14">
        <v>26</v>
      </c>
      <c r="I14">
        <f>E3/C2</f>
        <v>0.35397778517316786</v>
      </c>
      <c r="J14">
        <f>IF(((H14-F14)/(H14-G14))&lt;0,0,((H14-F14)/(H14-G14)))*0.7+0.3</f>
        <v>0.30524484789008816</v>
      </c>
      <c r="K14" s="14">
        <f>(C2*J14-E3)*J14</f>
        <v>-1529.5981016207943</v>
      </c>
      <c r="L14" s="11"/>
    </row>
    <row r="15" spans="1:12" ht="14" customHeight="1" x14ac:dyDescent="0.25">
      <c r="A15" s="10"/>
      <c r="B15" s="2" t="s">
        <v>17</v>
      </c>
      <c r="C15" s="17">
        <v>9248.4500000000007</v>
      </c>
      <c r="D15" s="17"/>
      <c r="E15" s="3">
        <v>5.7799999999999997E-2</v>
      </c>
      <c r="F15" s="22" t="s">
        <v>52</v>
      </c>
      <c r="G15" s="22"/>
      <c r="H15" s="22"/>
      <c r="I15" s="22"/>
      <c r="J15" s="22"/>
      <c r="K15" s="22"/>
    </row>
    <row r="16" spans="1:12" ht="14" customHeight="1" x14ac:dyDescent="0.25">
      <c r="A16" s="10"/>
      <c r="B16" s="2" t="s">
        <v>19</v>
      </c>
      <c r="C16" s="17">
        <v>10187.49</v>
      </c>
      <c r="D16" s="17"/>
      <c r="E16" s="3">
        <v>6.3200000000000006E-2</v>
      </c>
      <c r="F16" s="22"/>
      <c r="G16" s="22"/>
      <c r="H16" s="22"/>
      <c r="I16" s="22"/>
      <c r="J16" s="22"/>
      <c r="K16" s="22"/>
    </row>
    <row r="17" spans="1:11" ht="14" customHeight="1" x14ac:dyDescent="0.25">
      <c r="A17" s="10"/>
      <c r="B17" s="2" t="s">
        <v>45</v>
      </c>
      <c r="C17" s="17">
        <v>9719.7099999999991</v>
      </c>
      <c r="D17" s="17"/>
      <c r="E17" s="3">
        <v>6.54E-2</v>
      </c>
      <c r="F17" s="22"/>
      <c r="G17" s="22"/>
      <c r="H17" s="22"/>
      <c r="I17" s="22"/>
      <c r="J17" s="22"/>
      <c r="K17" s="22"/>
    </row>
    <row r="18" spans="1:11" ht="14" customHeight="1" x14ac:dyDescent="0.25">
      <c r="A18" s="10"/>
      <c r="B18" s="2" t="s">
        <v>46</v>
      </c>
      <c r="C18" s="17">
        <v>9118.0400000000009</v>
      </c>
      <c r="D18" s="17"/>
      <c r="E18" s="3">
        <v>6.0199999999999997E-2</v>
      </c>
      <c r="F18" s="22"/>
      <c r="G18" s="22"/>
      <c r="H18" s="22"/>
      <c r="I18" s="22"/>
      <c r="J18" s="22"/>
      <c r="K18" s="22"/>
    </row>
    <row r="19" spans="1:11" ht="14" customHeight="1" x14ac:dyDescent="0.25">
      <c r="A19" s="10"/>
      <c r="B19" s="2" t="s">
        <v>48</v>
      </c>
      <c r="C19" s="17">
        <v>11337.72</v>
      </c>
      <c r="D19" s="17"/>
      <c r="E19" s="3">
        <v>6.2899999999999998E-2</v>
      </c>
      <c r="F19" s="22"/>
      <c r="G19" s="22"/>
      <c r="H19" s="22"/>
      <c r="I19" s="22"/>
      <c r="J19" s="22"/>
      <c r="K19" s="22"/>
    </row>
    <row r="20" spans="1:11" ht="14" customHeight="1" x14ac:dyDescent="0.25">
      <c r="A20" s="10"/>
      <c r="B20" s="2" t="s">
        <v>53</v>
      </c>
      <c r="C20" s="17">
        <v>10050.39</v>
      </c>
      <c r="D20" s="17"/>
      <c r="E20" s="3">
        <v>7.1900000000000006E-2</v>
      </c>
      <c r="F20" s="22"/>
      <c r="G20" s="22"/>
      <c r="H20" s="22"/>
      <c r="I20" s="22"/>
      <c r="J20" s="22"/>
      <c r="K20" s="22"/>
    </row>
    <row r="21" spans="1:11" ht="14" customHeight="1" x14ac:dyDescent="0.25">
      <c r="A21" s="10"/>
      <c r="B21" s="2" t="s">
        <v>59</v>
      </c>
      <c r="C21" s="17">
        <v>10782.94</v>
      </c>
      <c r="D21" s="17">
        <v>25.67</v>
      </c>
      <c r="E21" s="3">
        <v>6.6699999999999995E-2</v>
      </c>
      <c r="F21" t="s">
        <v>55</v>
      </c>
      <c r="G21" t="s">
        <v>56</v>
      </c>
      <c r="I21" t="s">
        <v>54</v>
      </c>
      <c r="J21" t="s">
        <v>56</v>
      </c>
      <c r="K21" t="s">
        <v>57</v>
      </c>
    </row>
    <row r="22" spans="1:11" x14ac:dyDescent="0.25">
      <c r="A22" s="10"/>
      <c r="B22" s="2" t="s">
        <v>67</v>
      </c>
      <c r="C22" s="17">
        <v>12238.76</v>
      </c>
      <c r="D22" s="17">
        <v>25.93</v>
      </c>
      <c r="E22" s="3">
        <v>7.6100000000000001E-2</v>
      </c>
      <c r="F22" s="12">
        <v>2319</v>
      </c>
      <c r="G22" s="12">
        <v>33.46</v>
      </c>
      <c r="H22" s="12"/>
      <c r="I22" s="12">
        <v>1757</v>
      </c>
      <c r="J22" s="12">
        <v>15.98</v>
      </c>
      <c r="K22" s="12">
        <f>(F22*G22+I22*J22)/(F22+I22)</f>
        <v>25.925073601570169</v>
      </c>
    </row>
    <row r="23" spans="1:11" x14ac:dyDescent="0.25">
      <c r="A23" s="10"/>
      <c r="B23" s="2" t="s">
        <v>70</v>
      </c>
      <c r="C23" s="19">
        <v>12181.32</v>
      </c>
      <c r="D23" s="19">
        <v>25.93</v>
      </c>
      <c r="E23" s="3">
        <v>8.1600000000000006E-2</v>
      </c>
    </row>
  </sheetData>
  <sortState xmlns:xlrd2="http://schemas.microsoft.com/office/spreadsheetml/2017/richdata2"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E28-2B0A-4104-8C2C-76EB54B87C60}">
  <dimension ref="A1:K20"/>
  <sheetViews>
    <sheetView workbookViewId="0">
      <selection activeCell="D9" sqref="D9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0" t="s">
        <v>6</v>
      </c>
      <c r="B1" s="20"/>
      <c r="C1" s="20"/>
      <c r="D1" s="20"/>
    </row>
    <row r="2" spans="1:11" x14ac:dyDescent="0.25">
      <c r="A2" s="5" t="s">
        <v>11</v>
      </c>
      <c r="B2" s="21">
        <v>2330.48</v>
      </c>
      <c r="C2" s="21"/>
      <c r="D2" s="21"/>
    </row>
    <row r="3" spans="1:11" x14ac:dyDescent="0.25">
      <c r="A3" s="1" t="s">
        <v>1</v>
      </c>
      <c r="B3" s="24" t="s">
        <v>2</v>
      </c>
      <c r="C3" s="24"/>
      <c r="D3" s="4" t="s">
        <v>0</v>
      </c>
    </row>
    <row r="4" spans="1:11" x14ac:dyDescent="0.25">
      <c r="A4" s="2" t="s">
        <v>51</v>
      </c>
      <c r="B4" s="23">
        <v>-1.49</v>
      </c>
      <c r="C4" s="23"/>
      <c r="D4" s="3">
        <v>0</v>
      </c>
    </row>
    <row r="5" spans="1:11" x14ac:dyDescent="0.25">
      <c r="A5" s="2" t="s">
        <v>59</v>
      </c>
      <c r="B5" s="23">
        <v>-0.06</v>
      </c>
      <c r="C5" s="23"/>
      <c r="D5" s="3">
        <v>-3.0000000000000001E-3</v>
      </c>
    </row>
    <row r="6" spans="1:11" x14ac:dyDescent="0.25">
      <c r="A6" s="2" t="s">
        <v>68</v>
      </c>
      <c r="B6" s="23">
        <v>8.3000000000000007</v>
      </c>
      <c r="C6" s="23"/>
      <c r="D6" s="3">
        <v>3.0000000000000001E-3</v>
      </c>
    </row>
    <row r="7" spans="1:11" x14ac:dyDescent="0.25">
      <c r="A7" s="2" t="s">
        <v>69</v>
      </c>
      <c r="B7" s="23">
        <v>14.52</v>
      </c>
      <c r="C7" s="23"/>
      <c r="D7" s="3">
        <v>1.1999999999999999E-3</v>
      </c>
    </row>
    <row r="8" spans="1:11" x14ac:dyDescent="0.25">
      <c r="A8" s="2" t="s">
        <v>70</v>
      </c>
      <c r="B8" s="23">
        <v>9.6300000000000008</v>
      </c>
      <c r="C8" s="23"/>
      <c r="D8" s="3">
        <v>5.1000000000000004E-3</v>
      </c>
    </row>
    <row r="9" spans="1:11" x14ac:dyDescent="0.25">
      <c r="A9" s="2"/>
      <c r="B9" s="23"/>
      <c r="C9" s="23"/>
      <c r="D9" s="3"/>
    </row>
    <row r="10" spans="1:11" x14ac:dyDescent="0.25">
      <c r="A10" s="2"/>
      <c r="B10" s="23"/>
      <c r="C10" s="23"/>
      <c r="D10" s="3"/>
    </row>
    <row r="11" spans="1:11" x14ac:dyDescent="0.25">
      <c r="A11" s="2"/>
      <c r="B11" s="23"/>
      <c r="C11" s="23"/>
      <c r="D11" s="3"/>
    </row>
    <row r="12" spans="1:11" ht="14" customHeight="1" x14ac:dyDescent="0.25">
      <c r="A12" s="2"/>
      <c r="B12" s="23"/>
      <c r="C12" s="23"/>
      <c r="D12" s="3"/>
    </row>
    <row r="13" spans="1:11" ht="14" customHeight="1" x14ac:dyDescent="0.25">
      <c r="A13" s="2"/>
      <c r="B13" s="23"/>
      <c r="C13" s="23"/>
      <c r="D13" s="3"/>
      <c r="K13" s="11"/>
    </row>
    <row r="14" spans="1:11" ht="14" customHeight="1" x14ac:dyDescent="0.25">
      <c r="A14" s="2"/>
      <c r="B14" s="23"/>
      <c r="C14" s="23"/>
      <c r="D14" s="3"/>
    </row>
    <row r="15" spans="1:11" ht="14" customHeight="1" x14ac:dyDescent="0.25">
      <c r="A15" s="2"/>
      <c r="B15" s="23"/>
      <c r="C15" s="23"/>
      <c r="D15" s="3"/>
    </row>
    <row r="16" spans="1:11" ht="14" customHeight="1" x14ac:dyDescent="0.25">
      <c r="A16" s="2"/>
      <c r="B16" s="23"/>
      <c r="C16" s="23"/>
      <c r="D16" s="3"/>
    </row>
    <row r="17" spans="1:4" ht="14" customHeight="1" x14ac:dyDescent="0.25">
      <c r="A17" s="2"/>
      <c r="B17" s="23"/>
      <c r="C17" s="23"/>
      <c r="D17" s="3"/>
    </row>
    <row r="18" spans="1:4" ht="14" customHeight="1" x14ac:dyDescent="0.25">
      <c r="A18" s="2"/>
      <c r="B18" s="23"/>
      <c r="C18" s="23"/>
      <c r="D18" s="3"/>
    </row>
    <row r="19" spans="1:4" ht="14" customHeight="1" x14ac:dyDescent="0.25">
      <c r="A19" s="2"/>
      <c r="B19" s="23"/>
      <c r="C19" s="23"/>
      <c r="D19" s="3"/>
    </row>
    <row r="20" spans="1:4" ht="14" customHeight="1" x14ac:dyDescent="0.25"/>
  </sheetData>
  <mergeCells count="19"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  <mergeCell ref="A1:D1"/>
    <mergeCell ref="B3:C3"/>
    <mergeCell ref="B4:C4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E77-67F2-482F-B51B-B693BEB5C855}">
  <dimension ref="A1:E3"/>
  <sheetViews>
    <sheetView workbookViewId="0">
      <selection activeCell="I12" sqref="I12"/>
    </sheetView>
  </sheetViews>
  <sheetFormatPr defaultRowHeight="14" x14ac:dyDescent="0.25"/>
  <sheetData>
    <row r="1" spans="1:5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66</v>
      </c>
    </row>
    <row r="2" spans="1:5" x14ac:dyDescent="0.25">
      <c r="A2" t="s">
        <v>64</v>
      </c>
      <c r="B2" s="16">
        <v>-5.2299999999999999E-2</v>
      </c>
      <c r="C2" s="16">
        <v>-6.1800000000000001E-2</v>
      </c>
      <c r="D2" s="16">
        <v>-5.6300000000000003E-2</v>
      </c>
      <c r="E2" s="16">
        <v>-1.0109999999999999E-2</v>
      </c>
    </row>
    <row r="3" spans="1:5" x14ac:dyDescent="0.25">
      <c r="A3" t="s">
        <v>65</v>
      </c>
      <c r="B3" s="16">
        <v>2E-3</v>
      </c>
      <c r="C3" s="16">
        <v>2.5499999999999998E-2</v>
      </c>
      <c r="D3" s="16">
        <v>3.15E-2</v>
      </c>
      <c r="E3" s="16">
        <v>1.085E-2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21</v>
      </c>
      <c r="I3" t="s">
        <v>36</v>
      </c>
    </row>
    <row r="4" spans="3:9" x14ac:dyDescent="0.25">
      <c r="C4" t="s">
        <v>22</v>
      </c>
      <c r="I4" t="s">
        <v>37</v>
      </c>
    </row>
    <row r="5" spans="3:9" x14ac:dyDescent="0.25">
      <c r="C5" t="s">
        <v>23</v>
      </c>
      <c r="I5" t="s">
        <v>38</v>
      </c>
    </row>
    <row r="6" spans="3:9" x14ac:dyDescent="0.25">
      <c r="C6" t="s">
        <v>24</v>
      </c>
      <c r="I6" t="s">
        <v>39</v>
      </c>
    </row>
    <row r="7" spans="3:9" x14ac:dyDescent="0.25">
      <c r="C7" t="s">
        <v>25</v>
      </c>
      <c r="I7" t="s">
        <v>40</v>
      </c>
    </row>
    <row r="8" spans="3:9" x14ac:dyDescent="0.25">
      <c r="C8" t="s">
        <v>26</v>
      </c>
      <c r="I8" t="s">
        <v>41</v>
      </c>
    </row>
    <row r="9" spans="3:9" x14ac:dyDescent="0.25">
      <c r="C9" t="s">
        <v>27</v>
      </c>
      <c r="I9" t="s">
        <v>42</v>
      </c>
    </row>
    <row r="10" spans="3:9" x14ac:dyDescent="0.25">
      <c r="C10" t="s">
        <v>28</v>
      </c>
      <c r="I10" t="s">
        <v>43</v>
      </c>
    </row>
    <row r="11" spans="3:9" x14ac:dyDescent="0.25">
      <c r="C11" t="s">
        <v>29</v>
      </c>
      <c r="I11" t="s">
        <v>44</v>
      </c>
    </row>
    <row r="12" spans="3:9" x14ac:dyDescent="0.25">
      <c r="C12" t="s">
        <v>30</v>
      </c>
    </row>
    <row r="13" spans="3:9" x14ac:dyDescent="0.25">
      <c r="C13" t="s">
        <v>31</v>
      </c>
    </row>
    <row r="14" spans="3:9" x14ac:dyDescent="0.25">
      <c r="C14" t="s">
        <v>32</v>
      </c>
    </row>
    <row r="15" spans="3:9" x14ac:dyDescent="0.25">
      <c r="C15" t="s">
        <v>33</v>
      </c>
    </row>
    <row r="16" spans="3:9" x14ac:dyDescent="0.25">
      <c r="C16" t="s">
        <v>34</v>
      </c>
    </row>
    <row r="17" spans="3:3" x14ac:dyDescent="0.25">
      <c r="C17" t="s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动平衡策略</vt:lpstr>
      <vt:lpstr>日定投策略</vt:lpstr>
      <vt:lpstr>投资总结</vt:lpstr>
      <vt:lpstr>投资准则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2020-11-12T14:25:11Z</dcterms:modified>
</cp:coreProperties>
</file>