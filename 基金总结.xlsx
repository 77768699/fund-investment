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1020" yWindow="795" windowWidth="16905" windowHeight="8865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definedNames>
    <definedName name="_xlnm._FilterDatabase" localSheetId="2" hidden="1">投资总结!$A$1:$K$33</definedName>
  </definedNames>
  <calcPr calcId="144525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  <c r="N10" i="6"/>
</calcChain>
</file>

<file path=xl/sharedStrings.xml><?xml version="1.0" encoding="utf-8"?>
<sst xmlns="http://schemas.openxmlformats.org/spreadsheetml/2006/main" count="272" uniqueCount="187">
  <si>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</si>
  <si>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</si>
  <si>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</si>
  <si>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</si>
  <si>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</si>
  <si>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</si>
  <si>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</si>
  <si>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</si>
  <si>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</si>
  <si>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</si>
  <si>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</si>
  <si>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</si>
  <si>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</si>
  <si>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</si>
  <si>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</si>
  <si>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</si>
  <si>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</si>
  <si>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</si>
  <si>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</si>
  <si>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</si>
  <si>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</si>
  <si>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</si>
  <si>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</si>
  <si>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</si>
  <si>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</si>
  <si>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</si>
  <si>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</si>
  <si>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</si>
  <si>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</si>
  <si>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</si>
  <si>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</si>
  <si>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</si>
  <si>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</si>
  <si>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</si>
  <si>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</si>
  <si>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</si>
  <si>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</si>
  <si>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</si>
  <si>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</si>
  <si>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</si>
  <si>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</si>
  <si>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</si>
  <si>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</si>
  <si>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</si>
  <si>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</si>
  <si>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</si>
  <si>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</si>
  <si>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</si>
  <si>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</si>
  <si>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</si>
  <si>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</si>
  <si>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</si>
  <si>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</si>
  <si>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</si>
  <si>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</si>
  <si>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</si>
  <si>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</si>
  <si>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</si>
  <si>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</si>
  <si>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</si>
  <si>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</si>
  <si>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</si>
  <si>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</si>
  <si>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</si>
  <si>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</si>
  <si>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</si>
  <si>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</si>
  <si>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</si>
  <si>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</si>
  <si>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</si>
  <si>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</si>
  <si>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</si>
  <si>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</si>
  <si>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</si>
  <si>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</si>
  <si>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</si>
  <si>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</si>
  <si>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</si>
  <si>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</si>
  <si>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</si>
  <si>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</si>
  <si>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</si>
  <si>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</si>
  <si>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</si>
  <si>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</si>
  <si>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</si>
  <si>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</si>
  <si>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</si>
  <si>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</si>
  <si>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</si>
  <si>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</si>
  <si>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</si>
  <si>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</si>
  <si>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</si>
  <si>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</si>
  <si>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</si>
  <si>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</si>
  <si>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</si>
  <si>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</si>
  <si>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</si>
  <si>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</si>
  <si>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</si>
  <si>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</si>
  <si>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</si>
  <si>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</si>
  <si>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</si>
  <si>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</si>
  <si>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</si>
  <si>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</si>
  <si>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</si>
  <si>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</si>
  <si>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</si>
  <si>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</si>
  <si>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</si>
  <si>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</si>
  <si>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</si>
  <si>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</si>
  <si>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</si>
  <si>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</si>
  <si>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</si>
  <si>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</si>
  <si>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</si>
  <si>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</si>
  <si>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</si>
  <si>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</si>
  <si>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</si>
  <si>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</si>
  <si>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</si>
  <si>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</si>
  <si>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</si>
  <si>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</si>
  <si>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</si>
  <si>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</si>
  <si>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</si>
  <si>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</si>
  <si>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</si>
  <si>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</si>
  <si>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</si>
  <si>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</si>
  <si>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</si>
  <si>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</si>
  <si>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</si>
  <si>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</si>
  <si>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</si>
  <si>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</si>
  <si>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</si>
  <si>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</si>
  <si>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</si>
  <si>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</si>
  <si>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投资金额</t>
    <phoneticPr fontId="1" type="noConversion"/>
  </si>
  <si>
    <t>总金额</t>
    <phoneticPr fontId="1" type="noConversion"/>
  </si>
  <si>
    <t>2021/01/10</t>
    <phoneticPr fontId="1" type="noConversion"/>
  </si>
  <si>
    <t>2021/01/17</t>
    <phoneticPr fontId="1" type="noConversion"/>
  </si>
  <si>
    <t>2021/01/23</t>
    <phoneticPr fontId="1" type="noConversion"/>
  </si>
  <si>
    <t>2021/03/15</t>
    <phoneticPr fontId="1" type="noConversion"/>
  </si>
  <si>
    <t>2021/01/15</t>
    <phoneticPr fontId="1" type="noConversion"/>
  </si>
  <si>
    <t>2021/01/01</t>
    <phoneticPr fontId="1" type="noConversion"/>
  </si>
  <si>
    <t>调仓金额</t>
    <phoneticPr fontId="1" type="noConversion"/>
  </si>
  <si>
    <t>2021/01/30</t>
    <phoneticPr fontId="1" type="noConversion"/>
  </si>
  <si>
    <t>中银丰利灵活</t>
    <phoneticPr fontId="1" type="noConversion"/>
  </si>
  <si>
    <t>002431</t>
    <phoneticPr fontId="1" type="noConversion"/>
  </si>
  <si>
    <t>杨成</t>
    <phoneticPr fontId="1" type="noConversion"/>
  </si>
  <si>
    <t>中银锦利灵活</t>
    <phoneticPr fontId="1" type="noConversion"/>
  </si>
  <si>
    <t>003851</t>
    <phoneticPr fontId="1" type="noConversion"/>
  </si>
  <si>
    <t>001997</t>
    <phoneticPr fontId="1" type="noConversion"/>
  </si>
  <si>
    <t>工银新趋势灵活混合</t>
    <phoneticPr fontId="1" type="noConversion"/>
  </si>
  <si>
    <t>何肖</t>
    <phoneticPr fontId="1" type="noConversion"/>
  </si>
  <si>
    <t>163415</t>
    <phoneticPr fontId="1" type="noConversion"/>
  </si>
  <si>
    <t>兴全商业模式优选</t>
    <phoneticPr fontId="1" type="noConversion"/>
  </si>
  <si>
    <t>乔迁</t>
    <phoneticPr fontId="1" type="noConversion"/>
  </si>
  <si>
    <t>002846</t>
    <phoneticPr fontId="1" type="noConversion"/>
  </si>
  <si>
    <t>泓德鸿华灵活</t>
    <phoneticPr fontId="1" type="noConversion"/>
  </si>
  <si>
    <t>秦毅</t>
    <phoneticPr fontId="1" type="noConversion"/>
  </si>
  <si>
    <t>股票占比</t>
    <phoneticPr fontId="1" type="noConversion"/>
  </si>
  <si>
    <t>夏普率</t>
    <phoneticPr fontId="1" type="noConversion"/>
  </si>
  <si>
    <t>最大回撤</t>
    <phoneticPr fontId="1" type="noConversion"/>
  </si>
  <si>
    <t>波动率</t>
    <phoneticPr fontId="1" type="noConversion"/>
  </si>
  <si>
    <t>备注</t>
    <phoneticPr fontId="1" type="noConversion"/>
  </si>
  <si>
    <t>债券有所减仓，机构有所减仓</t>
    <phoneticPr fontId="1" type="noConversion"/>
  </si>
  <si>
    <t>股票仓位较高</t>
    <phoneticPr fontId="1" type="noConversion"/>
  </si>
  <si>
    <t>高位持仓 持股分散</t>
    <phoneticPr fontId="1" type="noConversion"/>
  </si>
  <si>
    <t>仓位变化大</t>
    <phoneticPr fontId="1" type="noConversion"/>
  </si>
  <si>
    <t>持股分散</t>
    <phoneticPr fontId="1" type="noConversion"/>
  </si>
  <si>
    <t>分散不减仓</t>
    <phoneticPr fontId="1" type="noConversion"/>
  </si>
  <si>
    <t>7层仓</t>
    <phoneticPr fontId="1" type="noConversion"/>
  </si>
  <si>
    <t>牛叉7层仓</t>
    <phoneticPr fontId="1" type="noConversion"/>
  </si>
  <si>
    <t>仓位较高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</si>
</sst>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0" fillId="0" borderId="0" xfId="0" applyFont="1"/>
    <xf numFmtId="10" fontId="6" fillId="0" borderId="0" xfId="0" applyNumberFormat="1" applyFo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2021/01/15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2021/01/01</c:v>
                </c:pt>
                <c:pt idx="5">
                  <c:v>2021/01/01</c:v>
                </c:pt>
                <c:pt idx="6">
                  <c:v>2021/01/01</c:v>
                </c:pt>
                <c:pt idx="7">
                  <c:v>2021/01/01</c:v>
                </c:pt>
                <c:pt idx="8">
                  <c:v>2021/01/01</c:v>
                </c:pt>
                <c:pt idx="9">
                  <c:v>2021/01/01</c:v>
                </c:pt>
                <c:pt idx="10">
                  <c:v>2021/01/01</c:v>
                </c:pt>
                <c:pt idx="11">
                  <c:v>2021/01/01</c:v>
                </c:pt>
                <c:pt idx="12">
                  <c:v>2021/01/01</c:v>
                </c:pt>
                <c:pt idx="13">
                  <c:v>2021/01/01</c:v>
                </c:pt>
                <c:pt idx="14">
                  <c:v>2021/01/01</c:v>
                </c:pt>
                <c:pt idx="15">
                  <c:v>2021/01/01</c:v>
                </c:pt>
                <c:pt idx="16">
                  <c:v>2021/01/01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  <c:pt idx="3">
                  <c:v>2.18E-2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10368"/>
        <c:axId val="51611520"/>
      </c:lineChart>
      <c:catAx>
        <c:axId val="51610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51611520"/>
        <c:crosses val="autoZero"/>
        <c:auto val="1"/>
        <c:lblAlgn val="ctr"/>
        <c:lblOffset val="100"/>
        <c:noMultiLvlLbl val="0"/>
      </c:catAx>
      <c:valAx>
        <c:axId val="5161152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516103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2021/01/10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2021/03/15</c:v>
                </c:pt>
                <c:pt idx="5">
                  <c:v>2021/03/15</c:v>
                </c:pt>
                <c:pt idx="6">
                  <c:v>2021/03/15</c:v>
                </c:pt>
                <c:pt idx="7">
                  <c:v>2021/03/15</c:v>
                </c:pt>
                <c:pt idx="8">
                  <c:v>2021/03/15</c:v>
                </c:pt>
                <c:pt idx="9">
                  <c:v>2021/03/15</c:v>
                </c:pt>
                <c:pt idx="10">
                  <c:v>2021/03/15</c:v>
                </c:pt>
                <c:pt idx="11">
                  <c:v>2021/03/15</c:v>
                </c:pt>
                <c:pt idx="12">
                  <c:v>2021/03/15</c:v>
                </c:pt>
                <c:pt idx="13">
                  <c:v>2021/03/15</c:v>
                </c:pt>
                <c:pt idx="14">
                  <c:v>2021/03/15</c:v>
                </c:pt>
                <c:pt idx="15">
                  <c:v>2021/03/15</c:v>
                </c:pt>
                <c:pt idx="16">
                  <c:v>2021/03/15</c:v>
                </c:pt>
                <c:pt idx="17">
                  <c:v>2021/03/15</c:v>
                </c:pt>
                <c:pt idx="18">
                  <c:v>2021/03/15</c:v>
                </c:pt>
                <c:pt idx="19">
                  <c:v>2021/03/15</c:v>
                </c:pt>
                <c:pt idx="20">
                  <c:v>2021/03/15</c:v>
                </c:pt>
                <c:pt idx="21">
                  <c:v>2021/03/15</c:v>
                </c:pt>
                <c:pt idx="22">
                  <c:v>2021/03/15</c:v>
                </c:pt>
                <c:pt idx="23">
                  <c:v>2021/03/15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7.1999999999999998E-3</c:v>
                </c:pt>
                <c:pt idx="2">
                  <c:v>1.47E-2</c:v>
                </c:pt>
                <c:pt idx="3">
                  <c:v>3.8E-3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37248"/>
        <c:axId val="52253440"/>
      </c:lineChart>
      <c:catAx>
        <c:axId val="51637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52253440"/>
        <c:crosses val="autoZero"/>
        <c:auto val="1"/>
        <c:lblAlgn val="ctr"/>
        <c:lblOffset val="100"/>
        <c:noMultiLvlLbl val="0"/>
      </c:catAx>
      <c:valAx>
        <c:axId val="5225344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516372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31648"/>
        <c:axId val="52333184"/>
      </c:lineChart>
      <c:catAx>
        <c:axId val="523316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52333184"/>
        <c:crosses val="autoZero"/>
        <c:auto val="1"/>
        <c:lblAlgn val="ctr"/>
        <c:lblOffset val="100"/>
        <c:noMultiLvlLbl val="0"/>
      </c:catAx>
      <c:valAx>
        <c:axId val="5233318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523316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16512"/>
        <c:axId val="52418048"/>
      </c:lineChart>
      <c:catAx>
        <c:axId val="524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52418048"/>
        <c:crosses val="autoZero"/>
        <c:auto val="1"/>
        <c:lblAlgn val="ctr"/>
        <c:lblOffset val="100"/>
        <c:noMultiLvlLbl val="0"/>
      </c:catAx>
      <c:valAx>
        <c:axId val="5241804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524165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tabSelected="1" zoomScale="85" zoomScaleNormal="85" workbookViewId="0">
      <selection activeCell="O17" sqref="O17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40.75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40</v>
      </c>
      <c r="B1" s="35" t="s">
        <v>5</v>
      </c>
      <c r="C1" s="35"/>
      <c r="D1" s="35"/>
      <c r="E1" s="35"/>
    </row>
    <row r="2" spans="1:12" x14ac:dyDescent="0.15">
      <c r="A2" s="10">
        <v>42246</v>
      </c>
      <c r="B2" s="5" t="s">
        <v>7</v>
      </c>
      <c r="C2" s="36">
        <v>122265.51</v>
      </c>
      <c r="D2" s="36"/>
      <c r="E2" s="36"/>
    </row>
    <row r="3" spans="1:12" x14ac:dyDescent="0.15">
      <c r="A3" s="10">
        <v>25271</v>
      </c>
      <c r="B3" s="5" t="s">
        <v>8</v>
      </c>
      <c r="C3" s="9">
        <f>SUM(A2:A13)</f>
        <v>74973</v>
      </c>
      <c r="D3" s="5" t="s">
        <v>9</v>
      </c>
      <c r="E3" s="6">
        <f>C2-E2-C3</f>
        <v>47292.509999999995</v>
      </c>
    </row>
    <row r="4" spans="1:12" x14ac:dyDescent="0.15">
      <c r="A4" s="10">
        <v>7406</v>
      </c>
      <c r="B4" s="1" t="s">
        <v>1</v>
      </c>
      <c r="C4" s="28" t="s">
        <v>2</v>
      </c>
      <c r="D4" s="28" t="s">
        <v>150</v>
      </c>
      <c r="E4" s="4" t="s">
        <v>0</v>
      </c>
    </row>
    <row r="5" spans="1:12" x14ac:dyDescent="0.15">
      <c r="A5" s="10">
        <v>50</v>
      </c>
      <c r="B5" s="2" t="s">
        <v>155</v>
      </c>
      <c r="C5" s="27">
        <v>2517.46</v>
      </c>
      <c r="D5" s="31">
        <v>121606.3</v>
      </c>
      <c r="E5" s="3">
        <v>2.1100000000000001E-2</v>
      </c>
    </row>
    <row r="6" spans="1:12" x14ac:dyDescent="0.15">
      <c r="A6" s="10"/>
      <c r="B6" s="2" t="s">
        <v>152</v>
      </c>
      <c r="C6" s="27">
        <v>2276.59</v>
      </c>
      <c r="D6" s="27">
        <v>121588.86</v>
      </c>
      <c r="E6" s="3">
        <v>1.9099999999999999E-2</v>
      </c>
    </row>
    <row r="7" spans="1:12" x14ac:dyDescent="0.15">
      <c r="A7" s="10"/>
      <c r="B7" s="2" t="s">
        <v>153</v>
      </c>
      <c r="C7" s="27">
        <v>4879.58</v>
      </c>
      <c r="D7" s="27">
        <v>124341.85</v>
      </c>
      <c r="E7" s="3">
        <v>4.0800000000000003E-2</v>
      </c>
    </row>
    <row r="8" spans="1:12" x14ac:dyDescent="0.15">
      <c r="A8" s="10"/>
      <c r="B8" s="2" t="s">
        <v>158</v>
      </c>
      <c r="C8" s="27">
        <v>2603.2399999999998</v>
      </c>
      <c r="D8" s="27">
        <v>122265.51</v>
      </c>
      <c r="E8" s="3">
        <v>2.18E-2</v>
      </c>
    </row>
    <row r="9" spans="1:12" x14ac:dyDescent="0.15">
      <c r="A9" s="10"/>
      <c r="B9" s="2" t="s">
        <v>156</v>
      </c>
      <c r="C9" s="27"/>
      <c r="D9" s="27"/>
      <c r="E9" s="3"/>
    </row>
    <row r="10" spans="1:12" x14ac:dyDescent="0.15">
      <c r="A10" s="10"/>
      <c r="B10" s="2" t="s">
        <v>156</v>
      </c>
      <c r="C10" s="27"/>
      <c r="D10" s="27"/>
      <c r="E10" s="3"/>
    </row>
    <row r="11" spans="1:12" x14ac:dyDescent="0.15">
      <c r="A11" s="10"/>
      <c r="B11" s="2" t="s">
        <v>156</v>
      </c>
      <c r="C11" s="27"/>
      <c r="D11" s="27"/>
      <c r="E11" s="3"/>
    </row>
    <row r="12" spans="1:12" x14ac:dyDescent="0.15">
      <c r="A12" s="10"/>
      <c r="B12" s="2" t="s">
        <v>156</v>
      </c>
      <c r="C12" s="27"/>
      <c r="D12" s="27"/>
      <c r="E12" s="3"/>
    </row>
    <row r="13" spans="1:12" ht="14.1" customHeight="1" x14ac:dyDescent="0.15">
      <c r="A13" s="10"/>
      <c r="B13" s="2" t="s">
        <v>156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157</v>
      </c>
    </row>
    <row r="14" spans="1:12" ht="14.1" customHeight="1" x14ac:dyDescent="0.15">
      <c r="A14" s="10"/>
      <c r="B14" s="2" t="s">
        <v>156</v>
      </c>
      <c r="C14" s="27"/>
      <c r="D14" s="27"/>
      <c r="E14" s="3"/>
      <c r="F14" s="13">
        <f>$K$22</f>
        <v>27.72752508361204</v>
      </c>
      <c r="G14">
        <v>16</v>
      </c>
      <c r="H14">
        <v>32</v>
      </c>
      <c r="I14">
        <f>E3/C2</f>
        <v>0.38680172356047093</v>
      </c>
      <c r="J14">
        <f>IF(((H14-F14)/(H14-G14))&lt;0,0,((H14-F14)/(H14-G14)))*0.9+0.1</f>
        <v>0.3403267140468228</v>
      </c>
      <c r="K14" s="14">
        <f>(C2*J14-E3)*J14</f>
        <v>-1933.8353359529881</v>
      </c>
      <c r="L14" s="11"/>
    </row>
    <row r="15" spans="1:12" ht="14.1" customHeight="1" x14ac:dyDescent="0.15">
      <c r="A15" s="10"/>
      <c r="B15" s="2" t="s">
        <v>156</v>
      </c>
      <c r="C15" s="27"/>
      <c r="D15" s="27"/>
      <c r="E15" s="3"/>
      <c r="F15" s="37" t="s">
        <v>44</v>
      </c>
      <c r="G15" s="37"/>
      <c r="H15" s="37"/>
      <c r="I15" s="37"/>
      <c r="J15" s="37"/>
      <c r="K15" s="37"/>
    </row>
    <row r="16" spans="1:12" ht="14.1" customHeight="1" x14ac:dyDescent="0.15">
      <c r="A16" s="10"/>
      <c r="B16" s="2" t="s">
        <v>156</v>
      </c>
      <c r="C16" s="27"/>
      <c r="D16" s="27"/>
      <c r="E16" s="3"/>
      <c r="F16" s="37"/>
      <c r="G16" s="37"/>
      <c r="H16" s="37"/>
      <c r="I16" s="37"/>
      <c r="J16" s="37"/>
      <c r="K16" s="37"/>
    </row>
    <row r="17" spans="1:11" ht="14.1" customHeight="1" x14ac:dyDescent="0.15">
      <c r="A17" s="10"/>
      <c r="B17" s="2" t="s">
        <v>156</v>
      </c>
      <c r="C17" s="27"/>
      <c r="D17" s="27"/>
      <c r="E17" s="3"/>
      <c r="F17" s="37"/>
      <c r="G17" s="37"/>
      <c r="H17" s="37"/>
      <c r="I17" s="37"/>
      <c r="J17" s="37"/>
      <c r="K17" s="37"/>
    </row>
    <row r="18" spans="1:11" ht="14.1" customHeight="1" x14ac:dyDescent="0.15">
      <c r="A18" s="10"/>
      <c r="B18" s="2" t="s">
        <v>156</v>
      </c>
      <c r="C18" s="27"/>
      <c r="D18" s="27"/>
      <c r="E18" s="3"/>
      <c r="F18" s="37"/>
      <c r="G18" s="37"/>
      <c r="H18" s="37"/>
      <c r="I18" s="37"/>
      <c r="J18" s="37"/>
      <c r="K18" s="37"/>
    </row>
    <row r="19" spans="1:11" ht="14.1" customHeight="1" x14ac:dyDescent="0.15">
      <c r="A19" s="10"/>
      <c r="B19" s="2" t="s">
        <v>156</v>
      </c>
      <c r="C19" s="27"/>
      <c r="D19" s="27"/>
      <c r="E19" s="3"/>
      <c r="F19" s="37"/>
      <c r="G19" s="37"/>
      <c r="H19" s="37"/>
      <c r="I19" s="37"/>
      <c r="J19" s="37"/>
      <c r="K19" s="37"/>
    </row>
    <row r="20" spans="1:11" ht="14.1" customHeight="1" x14ac:dyDescent="0.15">
      <c r="A20" s="10"/>
      <c r="B20" s="2" t="s">
        <v>156</v>
      </c>
      <c r="C20" s="27"/>
      <c r="D20" s="27"/>
      <c r="E20" s="3"/>
      <c r="F20" s="37"/>
      <c r="G20" s="37"/>
      <c r="H20" s="37"/>
      <c r="I20" s="37"/>
      <c r="J20" s="37"/>
      <c r="K20" s="37"/>
    </row>
    <row r="21" spans="1:11" ht="14.1" customHeight="1" x14ac:dyDescent="0.15">
      <c r="A21" s="10"/>
      <c r="B21" s="2" t="s">
        <v>156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15">
      <c r="A22" s="10"/>
      <c r="B22" s="2" t="s">
        <v>156</v>
      </c>
      <c r="C22" s="27"/>
      <c r="D22" s="27"/>
      <c r="E22" s="3"/>
      <c r="F22" s="12">
        <v>2373</v>
      </c>
      <c r="G22" s="12">
        <v>35.869999999999997</v>
      </c>
      <c r="H22" s="12"/>
      <c r="I22" s="12">
        <v>1813</v>
      </c>
      <c r="J22" s="12">
        <v>17.07</v>
      </c>
      <c r="K22" s="12">
        <f>(F22*G22+I22*J22)/(F22+I22)</f>
        <v>27.72752508361204</v>
      </c>
    </row>
    <row r="23" spans="1:11" x14ac:dyDescent="0.15">
      <c r="A23" s="10"/>
      <c r="B23" s="2" t="s">
        <v>156</v>
      </c>
      <c r="C23" s="29"/>
      <c r="D23" s="29"/>
      <c r="E23" s="3"/>
    </row>
    <row r="24" spans="1:11" x14ac:dyDescent="0.15">
      <c r="A24" s="10"/>
      <c r="B24" s="2" t="s">
        <v>156</v>
      </c>
      <c r="C24" s="29"/>
      <c r="D24" s="29"/>
      <c r="E24" s="3"/>
    </row>
    <row r="25" spans="1:11" x14ac:dyDescent="0.15">
      <c r="A25" s="10"/>
      <c r="B25" s="2" t="s">
        <v>156</v>
      </c>
      <c r="C25" s="29"/>
      <c r="D25" s="29"/>
      <c r="E25" s="3"/>
    </row>
    <row r="26" spans="1:11" x14ac:dyDescent="0.15">
      <c r="A26" s="10"/>
      <c r="B26" s="2" t="s">
        <v>156</v>
      </c>
      <c r="C26" s="29"/>
      <c r="D26" s="29"/>
      <c r="E26" s="3"/>
    </row>
    <row r="27" spans="1:11" x14ac:dyDescent="0.15">
      <c r="A27" s="10"/>
      <c r="B27" s="2" t="s">
        <v>156</v>
      </c>
      <c r="C27" s="29"/>
      <c r="D27" s="29"/>
      <c r="E27" s="3"/>
    </row>
    <row r="28" spans="1:11" x14ac:dyDescent="0.15">
      <c r="A28" s="10"/>
      <c r="B28" s="2" t="s">
        <v>156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Normal="100" workbookViewId="0">
      <selection activeCell="G15" sqref="G15"/>
    </sheetView>
  </sheetViews>
  <sheetFormatPr defaultRowHeight="13.5" x14ac:dyDescent="0.15"/>
  <cols>
    <col min="1" max="4" width="12.625" customWidth="1"/>
    <col min="5" max="5" width="9.25" bestFit="1" customWidth="1"/>
    <col min="6" max="7" width="13" customWidth="1"/>
    <col min="10" max="10" width="41.625" bestFit="1" customWidth="1"/>
    <col min="12" max="12" width="5.625" customWidth="1"/>
    <col min="14" max="15" width="13" bestFit="1" customWidth="1"/>
  </cols>
  <sheetData>
    <row r="1" spans="1:11" ht="27" customHeight="1" x14ac:dyDescent="0.15">
      <c r="A1" s="35" t="s">
        <v>5</v>
      </c>
      <c r="B1" s="35"/>
      <c r="C1" s="35"/>
      <c r="D1" s="35"/>
    </row>
    <row r="2" spans="1:11" x14ac:dyDescent="0.15">
      <c r="A2" s="1" t="s">
        <v>1</v>
      </c>
      <c r="B2" s="32" t="s">
        <v>2</v>
      </c>
      <c r="C2" s="4" t="s">
        <v>0</v>
      </c>
      <c r="D2" s="4" t="s">
        <v>149</v>
      </c>
    </row>
    <row r="3" spans="1:11" x14ac:dyDescent="0.15">
      <c r="A3" s="2" t="s">
        <v>151</v>
      </c>
      <c r="B3" s="30">
        <v>161.71</v>
      </c>
      <c r="C3" s="3">
        <v>9.5999999999999992E-3</v>
      </c>
      <c r="D3" s="30">
        <v>16935.88</v>
      </c>
    </row>
    <row r="4" spans="1:11" x14ac:dyDescent="0.15">
      <c r="A4" s="2" t="s">
        <v>152</v>
      </c>
      <c r="B4" s="30">
        <v>142.19</v>
      </c>
      <c r="C4" s="3">
        <v>7.1999999999999998E-3</v>
      </c>
      <c r="D4" s="30">
        <v>19759.849999999999</v>
      </c>
    </row>
    <row r="5" spans="1:11" x14ac:dyDescent="0.15">
      <c r="A5" s="2" t="s">
        <v>153</v>
      </c>
      <c r="B5" s="30">
        <v>305</v>
      </c>
      <c r="C5" s="3">
        <v>1.47E-2</v>
      </c>
      <c r="D5" s="30">
        <v>21107.66</v>
      </c>
    </row>
    <row r="6" spans="1:11" x14ac:dyDescent="0.15">
      <c r="A6" s="2" t="s">
        <v>158</v>
      </c>
      <c r="B6" s="30">
        <v>79.72</v>
      </c>
      <c r="C6" s="3">
        <v>3.8E-3</v>
      </c>
      <c r="D6" s="30">
        <v>21122.38</v>
      </c>
    </row>
    <row r="7" spans="1:11" x14ac:dyDescent="0.15">
      <c r="A7" s="2" t="s">
        <v>154</v>
      </c>
      <c r="B7" s="30"/>
      <c r="C7" s="3"/>
      <c r="D7" s="30"/>
    </row>
    <row r="8" spans="1:11" x14ac:dyDescent="0.15">
      <c r="A8" s="2" t="s">
        <v>154</v>
      </c>
      <c r="B8" s="30"/>
      <c r="C8" s="3"/>
      <c r="D8" s="30"/>
    </row>
    <row r="9" spans="1:11" x14ac:dyDescent="0.15">
      <c r="A9" s="2" t="s">
        <v>154</v>
      </c>
      <c r="B9" s="30"/>
      <c r="C9" s="3"/>
      <c r="D9" s="30"/>
    </row>
    <row r="10" spans="1:11" x14ac:dyDescent="0.15">
      <c r="A10" s="2" t="s">
        <v>154</v>
      </c>
      <c r="B10" s="30"/>
      <c r="C10" s="3"/>
      <c r="D10" s="30"/>
    </row>
    <row r="11" spans="1:11" x14ac:dyDescent="0.15">
      <c r="A11" s="2" t="s">
        <v>154</v>
      </c>
      <c r="B11" s="30"/>
      <c r="C11" s="3"/>
      <c r="D11" s="30"/>
    </row>
    <row r="12" spans="1:11" ht="14.1" customHeight="1" x14ac:dyDescent="0.15">
      <c r="A12" s="2" t="s">
        <v>154</v>
      </c>
      <c r="B12" s="30"/>
      <c r="C12" s="3"/>
      <c r="D12" s="30"/>
    </row>
    <row r="13" spans="1:11" ht="14.1" customHeight="1" x14ac:dyDescent="0.15">
      <c r="A13" s="2" t="s">
        <v>154</v>
      </c>
      <c r="B13" s="30"/>
      <c r="C13" s="3"/>
      <c r="D13" s="30"/>
      <c r="K13" s="11"/>
    </row>
    <row r="14" spans="1:11" ht="14.1" customHeight="1" x14ac:dyDescent="0.15">
      <c r="A14" s="2" t="s">
        <v>154</v>
      </c>
      <c r="B14" s="30"/>
      <c r="C14" s="3"/>
      <c r="D14" s="30"/>
    </row>
    <row r="15" spans="1:11" ht="14.1" customHeight="1" x14ac:dyDescent="0.15">
      <c r="A15" s="2" t="s">
        <v>154</v>
      </c>
      <c r="B15" s="30"/>
      <c r="C15" s="3"/>
      <c r="D15" s="30"/>
    </row>
    <row r="16" spans="1:11" ht="14.1" customHeight="1" x14ac:dyDescent="0.15">
      <c r="A16" s="2" t="s">
        <v>154</v>
      </c>
      <c r="B16" s="30"/>
      <c r="C16" s="3"/>
      <c r="D16" s="30"/>
    </row>
    <row r="17" spans="1:4" ht="14.1" customHeight="1" x14ac:dyDescent="0.15">
      <c r="A17" s="2" t="s">
        <v>154</v>
      </c>
      <c r="B17" s="30"/>
      <c r="C17" s="3"/>
      <c r="D17" s="30"/>
    </row>
    <row r="18" spans="1:4" ht="14.1" customHeight="1" x14ac:dyDescent="0.15">
      <c r="A18" s="2" t="s">
        <v>154</v>
      </c>
      <c r="B18" s="30"/>
      <c r="C18" s="3"/>
      <c r="D18" s="30"/>
    </row>
    <row r="19" spans="1:4" ht="14.1" customHeight="1" x14ac:dyDescent="0.15">
      <c r="A19" s="2" t="s">
        <v>154</v>
      </c>
      <c r="B19" s="30"/>
      <c r="C19" s="3"/>
      <c r="D19" s="30"/>
    </row>
    <row r="20" spans="1:4" ht="14.1" customHeight="1" x14ac:dyDescent="0.15">
      <c r="A20" s="2" t="s">
        <v>154</v>
      </c>
      <c r="B20" s="30"/>
      <c r="C20" s="3"/>
      <c r="D20" s="30"/>
    </row>
    <row r="21" spans="1:4" x14ac:dyDescent="0.15">
      <c r="A21" s="2" t="s">
        <v>154</v>
      </c>
      <c r="B21" s="30"/>
      <c r="C21" s="3"/>
      <c r="D21" s="30"/>
    </row>
    <row r="22" spans="1:4" x14ac:dyDescent="0.15">
      <c r="A22" s="2" t="s">
        <v>154</v>
      </c>
      <c r="B22" s="30"/>
      <c r="C22" s="3"/>
      <c r="D22" s="30"/>
    </row>
    <row r="23" spans="1:4" x14ac:dyDescent="0.15">
      <c r="A23" s="2" t="s">
        <v>154</v>
      </c>
      <c r="B23" s="30"/>
      <c r="C23" s="3"/>
      <c r="D23" s="30"/>
    </row>
    <row r="24" spans="1:4" x14ac:dyDescent="0.15">
      <c r="A24" s="2" t="s">
        <v>154</v>
      </c>
      <c r="B24" s="30"/>
      <c r="C24" s="3"/>
      <c r="D24" s="30"/>
    </row>
    <row r="25" spans="1:4" x14ac:dyDescent="0.15">
      <c r="A25" s="2" t="s">
        <v>154</v>
      </c>
      <c r="B25" s="30"/>
      <c r="C25" s="3"/>
      <c r="D25" s="30"/>
    </row>
    <row r="26" spans="1:4" x14ac:dyDescent="0.15">
      <c r="A26" s="2" t="s">
        <v>154</v>
      </c>
      <c r="B26" s="38"/>
      <c r="C26" s="38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33"/>
  <sheetViews>
    <sheetView zoomScale="110" zoomScaleNormal="110" workbookViewId="0">
      <pane ySplit="1" topLeftCell="A2" activePane="bottomLeft" state="frozen"/>
      <selection pane="bottomLeft" activeCell="H32" sqref="H32"/>
    </sheetView>
  </sheetViews>
  <sheetFormatPr defaultRowHeight="13.5" x14ac:dyDescent="0.15"/>
  <cols>
    <col min="2" max="2" width="30.875" bestFit="1" customWidth="1"/>
    <col min="3" max="3" width="9.25" bestFit="1" customWidth="1"/>
    <col min="5" max="5" width="11.375" bestFit="1" customWidth="1"/>
    <col min="6" max="6" width="13.5" bestFit="1" customWidth="1"/>
    <col min="7" max="7" width="9.25" bestFit="1" customWidth="1"/>
    <col min="8" max="8" width="7.25" bestFit="1" customWidth="1"/>
    <col min="10" max="10" width="9.25" bestFit="1" customWidth="1"/>
    <col min="11" max="11" width="28.625" bestFit="1" customWidth="1"/>
  </cols>
  <sheetData>
    <row r="1" spans="1:14" x14ac:dyDescent="0.1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144</v>
      </c>
      <c r="G1" s="15" t="s">
        <v>173</v>
      </c>
      <c r="H1" s="15" t="s">
        <v>176</v>
      </c>
      <c r="I1" s="15" t="s">
        <v>174</v>
      </c>
      <c r="J1" s="15" t="s">
        <v>175</v>
      </c>
      <c r="K1" s="15" t="s">
        <v>177</v>
      </c>
    </row>
    <row r="2" spans="1:14" x14ac:dyDescent="0.15">
      <c r="A2" s="24" t="s">
        <v>70</v>
      </c>
      <c r="B2" s="33" t="s">
        <v>71</v>
      </c>
      <c r="C2" t="s">
        <v>72</v>
      </c>
      <c r="D2">
        <v>5317</v>
      </c>
      <c r="E2" s="16">
        <v>0.14810000000000001</v>
      </c>
      <c r="F2" s="16">
        <v>0.51890000000000003</v>
      </c>
      <c r="G2" s="16">
        <v>0.69069999999999998</v>
      </c>
      <c r="H2" s="16">
        <v>0.16969999999999999</v>
      </c>
      <c r="I2" s="16">
        <v>2.5899999999999999E-2</v>
      </c>
      <c r="J2" s="16">
        <v>8.5999999999999993E-2</v>
      </c>
      <c r="K2" t="s">
        <v>185</v>
      </c>
    </row>
    <row r="3" spans="1:14" x14ac:dyDescent="0.15">
      <c r="A3" s="24" t="s">
        <v>73</v>
      </c>
      <c r="B3" s="33" t="s">
        <v>74</v>
      </c>
      <c r="C3" t="s">
        <v>75</v>
      </c>
      <c r="D3">
        <v>4761</v>
      </c>
      <c r="E3" s="16">
        <v>0.64</v>
      </c>
      <c r="F3" s="16">
        <v>0.23080000000000001</v>
      </c>
      <c r="G3" s="16">
        <v>0.39069999999999999</v>
      </c>
      <c r="H3" s="16">
        <v>0.1072</v>
      </c>
      <c r="I3" s="16">
        <v>2.3400000000000001E-2</v>
      </c>
      <c r="J3" s="16">
        <v>9.4399999999999998E-2</v>
      </c>
      <c r="K3" t="s">
        <v>178</v>
      </c>
    </row>
    <row r="4" spans="1:14" x14ac:dyDescent="0.15">
      <c r="A4" s="24" t="s">
        <v>106</v>
      </c>
      <c r="B4" s="34" t="s">
        <v>107</v>
      </c>
      <c r="C4" s="16" t="s">
        <v>108</v>
      </c>
      <c r="D4">
        <v>723</v>
      </c>
      <c r="E4" s="16">
        <v>0.13969999999999999</v>
      </c>
      <c r="F4" s="16">
        <v>0.52429999999999999</v>
      </c>
      <c r="G4" s="16">
        <v>0.85340000000000005</v>
      </c>
      <c r="H4" s="16">
        <v>0.23130000000000001</v>
      </c>
      <c r="I4" s="16">
        <v>2.9500000000000002E-2</v>
      </c>
      <c r="J4" s="16">
        <v>9.8299999999999998E-2</v>
      </c>
    </row>
    <row r="5" spans="1:14" x14ac:dyDescent="0.15">
      <c r="A5" s="24" t="s">
        <v>93</v>
      </c>
      <c r="B5" s="33" t="s">
        <v>94</v>
      </c>
      <c r="C5" t="s">
        <v>72</v>
      </c>
      <c r="D5">
        <v>1615</v>
      </c>
      <c r="E5" s="16">
        <v>0.4289</v>
      </c>
      <c r="F5" s="16">
        <v>0.55430000000000001</v>
      </c>
      <c r="G5" s="16">
        <v>0.87660000000000005</v>
      </c>
      <c r="H5" s="16">
        <v>0.21160000000000001</v>
      </c>
      <c r="I5" s="16">
        <v>2.5099999999999997E-2</v>
      </c>
      <c r="J5" s="16">
        <v>0.1143</v>
      </c>
    </row>
    <row r="6" spans="1:14" x14ac:dyDescent="0.15">
      <c r="A6" s="24" t="s">
        <v>112</v>
      </c>
      <c r="B6" s="33" t="s">
        <v>113</v>
      </c>
      <c r="C6" t="s">
        <v>114</v>
      </c>
      <c r="D6">
        <v>594</v>
      </c>
      <c r="E6" s="16">
        <v>0.29260000000000003</v>
      </c>
      <c r="F6" s="16">
        <v>0.45290000000000002</v>
      </c>
      <c r="G6" s="16">
        <v>0.74729999999999996</v>
      </c>
      <c r="H6" s="16">
        <v>0.19289999999999999</v>
      </c>
      <c r="I6" s="16">
        <v>2.8199999999999999E-2</v>
      </c>
      <c r="J6" s="16">
        <v>0.1176</v>
      </c>
      <c r="K6" t="s">
        <v>184</v>
      </c>
    </row>
    <row r="7" spans="1:14" hidden="1" x14ac:dyDescent="0.15">
      <c r="A7" s="24" t="s">
        <v>76</v>
      </c>
      <c r="B7" s="33" t="s">
        <v>77</v>
      </c>
      <c r="C7" t="s">
        <v>78</v>
      </c>
      <c r="D7">
        <v>4047</v>
      </c>
      <c r="E7" s="16">
        <v>4.36E-2</v>
      </c>
      <c r="F7" s="16">
        <v>0.47339999999999999</v>
      </c>
      <c r="G7" s="16">
        <v>0.78720000000000001</v>
      </c>
      <c r="H7" s="16">
        <v>0.17269999999999999</v>
      </c>
      <c r="I7" s="16">
        <v>1.52E-2</v>
      </c>
      <c r="J7" s="16">
        <v>0.12839999999999999</v>
      </c>
      <c r="K7" t="s">
        <v>184</v>
      </c>
    </row>
    <row r="8" spans="1:14" x14ac:dyDescent="0.15">
      <c r="A8" s="24" t="s">
        <v>82</v>
      </c>
      <c r="B8" s="33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  <c r="G8" s="16">
        <v>0.89529999999999998</v>
      </c>
      <c r="H8" s="16">
        <v>0.2036</v>
      </c>
      <c r="I8" s="16">
        <v>2.7400000000000001E-2</v>
      </c>
      <c r="J8" s="16">
        <v>0.1326</v>
      </c>
    </row>
    <row r="9" spans="1:14" x14ac:dyDescent="0.15">
      <c r="A9" s="24" t="s">
        <v>164</v>
      </c>
      <c r="B9" s="33" t="s">
        <v>165</v>
      </c>
      <c r="C9" t="s">
        <v>166</v>
      </c>
      <c r="F9" s="16">
        <v>0.3281</v>
      </c>
      <c r="G9" s="16">
        <v>0.90769999999999995</v>
      </c>
      <c r="H9" s="16">
        <v>0.24779999999999999</v>
      </c>
      <c r="I9" s="16">
        <v>3.3500000000000002E-2</v>
      </c>
      <c r="J9" s="16">
        <v>0.13669999999999999</v>
      </c>
    </row>
    <row r="10" spans="1:14" hidden="1" x14ac:dyDescent="0.15">
      <c r="A10" s="24" t="s">
        <v>85</v>
      </c>
      <c r="B10" s="33" t="s">
        <v>86</v>
      </c>
      <c r="C10" t="s">
        <v>78</v>
      </c>
      <c r="D10">
        <v>2387</v>
      </c>
      <c r="E10" s="16">
        <v>0.83460000000000001</v>
      </c>
      <c r="F10" s="16">
        <v>0.56789999999999996</v>
      </c>
      <c r="G10" s="16">
        <v>0.84840000000000004</v>
      </c>
      <c r="H10" s="16">
        <v>0.1956</v>
      </c>
      <c r="I10" s="16">
        <v>1.4999999999999999E-2</v>
      </c>
      <c r="J10" s="16">
        <v>0.13869999999999999</v>
      </c>
      <c r="N10">
        <f ca="1">N10</f>
        <v>0</v>
      </c>
    </row>
    <row r="11" spans="1:14" x14ac:dyDescent="0.15">
      <c r="A11" s="24" t="s">
        <v>119</v>
      </c>
      <c r="B11" s="33" t="s">
        <v>120</v>
      </c>
      <c r="C11" s="16" t="s">
        <v>121</v>
      </c>
      <c r="D11">
        <v>329</v>
      </c>
      <c r="E11" s="16">
        <v>0.22270000000000001</v>
      </c>
      <c r="F11" s="16">
        <v>0.46539999999999998</v>
      </c>
      <c r="G11" s="16">
        <v>0.93310000000000004</v>
      </c>
      <c r="H11" s="16">
        <v>0.21820000000000001</v>
      </c>
      <c r="I11" s="16">
        <v>2.3599999999999999E-2</v>
      </c>
      <c r="J11" s="16">
        <v>0.1389</v>
      </c>
    </row>
    <row r="12" spans="1:14" x14ac:dyDescent="0.15">
      <c r="A12" s="24" t="s">
        <v>125</v>
      </c>
      <c r="B12" s="33" t="s">
        <v>126</v>
      </c>
      <c r="C12" t="s">
        <v>127</v>
      </c>
      <c r="D12">
        <v>243</v>
      </c>
      <c r="E12" s="16">
        <v>0.56579999999999997</v>
      </c>
      <c r="F12" s="16">
        <v>0.49580000000000002</v>
      </c>
      <c r="G12" s="16">
        <v>0.93400000000000005</v>
      </c>
      <c r="H12" s="16">
        <v>0.23130000000000001</v>
      </c>
      <c r="I12" s="16">
        <v>2.24E-2</v>
      </c>
      <c r="J12" s="16">
        <v>0.14399999999999999</v>
      </c>
      <c r="K12" t="s">
        <v>181</v>
      </c>
    </row>
    <row r="13" spans="1:14" x14ac:dyDescent="0.15">
      <c r="A13" s="24" t="s">
        <v>137</v>
      </c>
      <c r="B13" s="33" t="s">
        <v>138</v>
      </c>
      <c r="C13" t="s">
        <v>139</v>
      </c>
      <c r="D13">
        <v>75</v>
      </c>
      <c r="E13" s="16">
        <v>6.59E-2</v>
      </c>
      <c r="F13" s="16">
        <v>0.65329999999999999</v>
      </c>
      <c r="G13" s="16">
        <v>0.94389999999999996</v>
      </c>
      <c r="H13" s="16">
        <v>0.24460000000000001</v>
      </c>
      <c r="I13" s="16">
        <v>2.8799999999999999E-2</v>
      </c>
      <c r="J13" s="16">
        <v>0.1512</v>
      </c>
    </row>
    <row r="14" spans="1:14" x14ac:dyDescent="0.15">
      <c r="A14" s="24" t="s">
        <v>167</v>
      </c>
      <c r="B14" s="33" t="s">
        <v>168</v>
      </c>
      <c r="C14" t="s">
        <v>169</v>
      </c>
      <c r="F14" s="16">
        <v>0.39360000000000001</v>
      </c>
      <c r="G14" s="16">
        <v>0.91520000000000001</v>
      </c>
      <c r="H14" s="16">
        <v>0.23400000000000001</v>
      </c>
      <c r="I14" s="16">
        <v>2.3300000000000001E-2</v>
      </c>
      <c r="J14" s="16">
        <v>0.15509999999999999</v>
      </c>
    </row>
    <row r="15" spans="1:14" x14ac:dyDescent="0.15">
      <c r="A15" s="24" t="s">
        <v>90</v>
      </c>
      <c r="B15" s="33" t="s">
        <v>91</v>
      </c>
      <c r="C15" t="s">
        <v>92</v>
      </c>
      <c r="D15">
        <v>1809</v>
      </c>
      <c r="E15" s="16">
        <v>5.6500000000000002E-2</v>
      </c>
      <c r="F15" s="16">
        <v>0.70250000000000001</v>
      </c>
      <c r="G15" s="16">
        <v>0.92349999999999999</v>
      </c>
      <c r="H15" s="16">
        <v>0.21890000000000001</v>
      </c>
      <c r="I15" s="16">
        <v>3.1699999999999999E-2</v>
      </c>
      <c r="J15" s="16">
        <v>0.15740000000000001</v>
      </c>
    </row>
    <row r="16" spans="1:14" hidden="1" x14ac:dyDescent="0.15">
      <c r="A16" s="24" t="s">
        <v>128</v>
      </c>
      <c r="B16" s="33" t="s">
        <v>129</v>
      </c>
      <c r="C16" t="s">
        <v>130</v>
      </c>
      <c r="D16">
        <v>177</v>
      </c>
      <c r="E16" s="16">
        <v>7.3099999999999998E-2</v>
      </c>
      <c r="F16" s="16">
        <v>0.67710000000000004</v>
      </c>
      <c r="G16" s="16">
        <v>0.92090000000000005</v>
      </c>
      <c r="H16" s="16">
        <v>0.25629999999999997</v>
      </c>
      <c r="I16" s="16">
        <v>2.6699999999999998E-2</v>
      </c>
      <c r="J16" s="16">
        <v>0.1585</v>
      </c>
    </row>
    <row r="17" spans="1:11" x14ac:dyDescent="0.15">
      <c r="A17" s="24" t="s">
        <v>109</v>
      </c>
      <c r="B17" s="33" t="s">
        <v>110</v>
      </c>
      <c r="C17" t="s">
        <v>111</v>
      </c>
      <c r="D17">
        <v>671</v>
      </c>
      <c r="E17" s="16">
        <v>0.61729999999999996</v>
      </c>
      <c r="F17" s="16">
        <v>0.41980000000000001</v>
      </c>
      <c r="G17" s="16">
        <v>0.81100000000000005</v>
      </c>
      <c r="H17" s="16">
        <v>0.2349</v>
      </c>
      <c r="I17" s="16">
        <v>2.1899999999999999E-2</v>
      </c>
      <c r="J17" s="16">
        <v>0.16070000000000001</v>
      </c>
    </row>
    <row r="18" spans="1:11" x14ac:dyDescent="0.15">
      <c r="A18" s="24" t="s">
        <v>87</v>
      </c>
      <c r="B18" s="33" t="s">
        <v>88</v>
      </c>
      <c r="C18" t="s">
        <v>89</v>
      </c>
      <c r="D18">
        <v>2274</v>
      </c>
      <c r="E18" s="16">
        <v>8.3699999999999997E-2</v>
      </c>
      <c r="F18" s="16">
        <v>0.41120000000000001</v>
      </c>
      <c r="G18" s="16">
        <v>0.86939999999999995</v>
      </c>
      <c r="H18" s="16">
        <v>0.21820000000000001</v>
      </c>
      <c r="I18" s="16">
        <v>2.64E-2</v>
      </c>
      <c r="J18" s="16">
        <v>0.16200000000000001</v>
      </c>
      <c r="K18" t="s">
        <v>182</v>
      </c>
    </row>
    <row r="19" spans="1:11" x14ac:dyDescent="0.15">
      <c r="A19" s="24" t="s">
        <v>131</v>
      </c>
      <c r="B19" s="33" t="s">
        <v>132</v>
      </c>
      <c r="C19" t="s">
        <v>133</v>
      </c>
      <c r="D19">
        <v>133</v>
      </c>
      <c r="E19" s="16">
        <v>0.26529999999999998</v>
      </c>
      <c r="F19" s="16">
        <v>0.56859999999999999</v>
      </c>
      <c r="G19" s="16">
        <v>0.91790000000000005</v>
      </c>
      <c r="H19" s="16">
        <v>0.22939999999999999</v>
      </c>
      <c r="I19" s="16">
        <v>2.3E-2</v>
      </c>
      <c r="J19" s="16">
        <v>0.16400000000000001</v>
      </c>
      <c r="K19" t="s">
        <v>186</v>
      </c>
    </row>
    <row r="20" spans="1:11" x14ac:dyDescent="0.15">
      <c r="A20" s="24" t="s">
        <v>95</v>
      </c>
      <c r="B20" s="33" t="s">
        <v>96</v>
      </c>
      <c r="C20" t="s">
        <v>97</v>
      </c>
      <c r="D20">
        <v>1355</v>
      </c>
      <c r="E20" s="16">
        <v>0.1487</v>
      </c>
      <c r="F20" s="16">
        <v>0.36549999999999999</v>
      </c>
      <c r="G20" s="16">
        <v>0.94289999999999996</v>
      </c>
      <c r="H20" s="16">
        <v>0.22370000000000001</v>
      </c>
      <c r="I20" s="16">
        <v>2.1299999999999999E-2</v>
      </c>
      <c r="J20" s="16">
        <v>0.16869999999999999</v>
      </c>
      <c r="K20" t="s">
        <v>180</v>
      </c>
    </row>
    <row r="21" spans="1:11" hidden="1" x14ac:dyDescent="0.15">
      <c r="A21" s="24" t="s">
        <v>79</v>
      </c>
      <c r="B21" s="33" t="s">
        <v>80</v>
      </c>
      <c r="C21" t="s">
        <v>81</v>
      </c>
      <c r="D21">
        <v>3528</v>
      </c>
      <c r="E21" s="16">
        <v>0.1152</v>
      </c>
      <c r="F21" s="16">
        <v>0.55349999999999999</v>
      </c>
      <c r="G21" s="16">
        <v>0.95489999999999997</v>
      </c>
      <c r="H21" s="16">
        <v>0.2555</v>
      </c>
      <c r="I21" s="16">
        <v>2.2200000000000001E-2</v>
      </c>
      <c r="J21" s="16">
        <v>0.17100000000000001</v>
      </c>
    </row>
    <row r="22" spans="1:11" x14ac:dyDescent="0.15">
      <c r="A22" s="24" t="s">
        <v>122</v>
      </c>
      <c r="B22" s="33" t="s">
        <v>123</v>
      </c>
      <c r="C22" s="16" t="s">
        <v>124</v>
      </c>
      <c r="D22">
        <v>238</v>
      </c>
      <c r="E22" s="16">
        <v>0.66259999999999997</v>
      </c>
      <c r="F22" s="16">
        <v>0.35560000000000003</v>
      </c>
      <c r="G22" s="16">
        <v>0.89970000000000006</v>
      </c>
      <c r="H22" s="16">
        <v>0.24199999999999999</v>
      </c>
      <c r="I22" s="16">
        <v>2.4400000000000002E-2</v>
      </c>
      <c r="J22" s="16">
        <v>0.1769</v>
      </c>
    </row>
    <row r="23" spans="1:11" hidden="1" x14ac:dyDescent="0.15">
      <c r="A23" s="24" t="s">
        <v>170</v>
      </c>
      <c r="B23" s="33" t="s">
        <v>171</v>
      </c>
      <c r="C23" t="s">
        <v>172</v>
      </c>
      <c r="F23" s="16">
        <v>0.4773</v>
      </c>
      <c r="G23" s="16">
        <v>0.91900000000000004</v>
      </c>
      <c r="H23" s="16">
        <v>0.2432</v>
      </c>
      <c r="I23" s="16">
        <v>3.1800000000000002E-2</v>
      </c>
      <c r="J23" s="16">
        <v>0.18179999999999999</v>
      </c>
    </row>
    <row r="24" spans="1:11" hidden="1" x14ac:dyDescent="0.15">
      <c r="A24" s="24" t="s">
        <v>134</v>
      </c>
      <c r="B24" s="33" t="s">
        <v>135</v>
      </c>
      <c r="C24" t="s">
        <v>136</v>
      </c>
      <c r="D24">
        <v>89</v>
      </c>
      <c r="E24" s="16">
        <v>0.76180000000000003</v>
      </c>
      <c r="F24" s="16">
        <v>0.37130000000000002</v>
      </c>
      <c r="G24" s="16">
        <v>0.93020000000000003</v>
      </c>
      <c r="H24" s="16">
        <v>0.24260000000000001</v>
      </c>
      <c r="I24" s="16">
        <v>2.4500000000000001E-2</v>
      </c>
      <c r="J24" s="16">
        <v>0.18329999999999999</v>
      </c>
      <c r="K24" t="s">
        <v>179</v>
      </c>
    </row>
    <row r="25" spans="1:11" hidden="1" x14ac:dyDescent="0.15">
      <c r="A25" s="24" t="s">
        <v>100</v>
      </c>
      <c r="B25" s="33" t="s">
        <v>101</v>
      </c>
      <c r="C25" t="s">
        <v>102</v>
      </c>
      <c r="D25">
        <v>720</v>
      </c>
      <c r="E25" s="16">
        <v>0.28949999999999998</v>
      </c>
      <c r="F25" s="16">
        <v>0.58589999999999998</v>
      </c>
      <c r="G25" s="16">
        <v>0.81340000000000001</v>
      </c>
      <c r="H25" s="16">
        <v>0.25559999999999999</v>
      </c>
      <c r="I25" s="16">
        <v>2.1299999999999999E-2</v>
      </c>
      <c r="J25" s="16">
        <v>0.18759999999999999</v>
      </c>
    </row>
    <row r="26" spans="1:11" hidden="1" x14ac:dyDescent="0.15">
      <c r="A26" s="24" t="s">
        <v>141</v>
      </c>
      <c r="B26" s="33" t="s">
        <v>142</v>
      </c>
      <c r="C26" t="s">
        <v>143</v>
      </c>
      <c r="D26">
        <v>20</v>
      </c>
      <c r="E26" s="16">
        <v>0.75549999999999995</v>
      </c>
      <c r="F26" s="16">
        <v>0.70479999999999998</v>
      </c>
      <c r="G26" s="16">
        <v>0.92769999999999997</v>
      </c>
      <c r="H26" s="16">
        <v>0.22370000000000001</v>
      </c>
      <c r="I26" s="16">
        <v>2.4700000000000003E-2</v>
      </c>
      <c r="J26" s="16">
        <v>0.19500000000000001</v>
      </c>
      <c r="K26" t="s">
        <v>183</v>
      </c>
    </row>
    <row r="27" spans="1:11" hidden="1" x14ac:dyDescent="0.15">
      <c r="A27" s="24" t="s">
        <v>103</v>
      </c>
      <c r="B27" s="33" t="s">
        <v>104</v>
      </c>
      <c r="C27" t="s">
        <v>105</v>
      </c>
      <c r="D27">
        <v>691</v>
      </c>
      <c r="E27" s="16">
        <v>7.7399999999999997E-2</v>
      </c>
      <c r="F27" s="16">
        <v>0.46889999999999998</v>
      </c>
      <c r="G27" s="16">
        <v>0.84960000000000002</v>
      </c>
      <c r="H27" s="16">
        <v>0.2828</v>
      </c>
      <c r="I27" s="16">
        <v>2.0799999999999999E-2</v>
      </c>
      <c r="J27" s="16">
        <v>0.20669999999999999</v>
      </c>
    </row>
    <row r="28" spans="1:11" hidden="1" x14ac:dyDescent="0.15">
      <c r="A28" s="24" t="s">
        <v>115</v>
      </c>
      <c r="B28" s="34" t="s">
        <v>98</v>
      </c>
      <c r="C28" s="16" t="s">
        <v>99</v>
      </c>
      <c r="D28">
        <v>510</v>
      </c>
      <c r="E28" s="16">
        <v>0.3054</v>
      </c>
      <c r="F28" s="16">
        <v>0.42899999999999999</v>
      </c>
      <c r="G28" s="16">
        <v>0.8125</v>
      </c>
      <c r="H28" s="16">
        <v>0.25619999999999998</v>
      </c>
      <c r="I28" s="16">
        <v>2.5100000000000001E-2</v>
      </c>
      <c r="J28" s="16">
        <v>0.2079</v>
      </c>
    </row>
    <row r="29" spans="1:11" hidden="1" x14ac:dyDescent="0.15">
      <c r="A29" s="24" t="s">
        <v>116</v>
      </c>
      <c r="B29" s="33" t="s">
        <v>117</v>
      </c>
      <c r="C29" t="s">
        <v>118</v>
      </c>
      <c r="D29">
        <v>482</v>
      </c>
      <c r="E29" s="16">
        <v>3.0000000000000001E-3</v>
      </c>
      <c r="F29" s="16">
        <v>0.61419999999999997</v>
      </c>
      <c r="G29" s="16">
        <v>0.83689999999999998</v>
      </c>
      <c r="H29" s="16">
        <v>0.3397</v>
      </c>
      <c r="I29" s="16">
        <v>2.7799999999999998E-2</v>
      </c>
      <c r="J29" s="16">
        <v>0.25469999999999998</v>
      </c>
    </row>
    <row r="30" spans="1:11" x14ac:dyDescent="0.15">
      <c r="A30" s="24" t="s">
        <v>65</v>
      </c>
      <c r="B30" s="33" t="s">
        <v>66</v>
      </c>
      <c r="C30" t="s">
        <v>67</v>
      </c>
      <c r="D30">
        <v>44854</v>
      </c>
      <c r="E30" s="16">
        <v>0.90039999999999998</v>
      </c>
      <c r="F30" s="16"/>
      <c r="G30" s="16"/>
      <c r="H30" s="16"/>
      <c r="J30" s="16"/>
    </row>
    <row r="31" spans="1:11" x14ac:dyDescent="0.15">
      <c r="A31" s="24" t="s">
        <v>68</v>
      </c>
      <c r="B31" s="33" t="s">
        <v>69</v>
      </c>
      <c r="C31" t="s">
        <v>67</v>
      </c>
      <c r="D31">
        <v>24586</v>
      </c>
      <c r="E31" s="16">
        <v>0.69120000000000004</v>
      </c>
      <c r="F31" s="16"/>
      <c r="G31" s="16"/>
      <c r="H31" s="16"/>
      <c r="J31" s="16"/>
    </row>
    <row r="32" spans="1:11" x14ac:dyDescent="0.15">
      <c r="A32" s="24" t="s">
        <v>160</v>
      </c>
      <c r="B32" s="33" t="s">
        <v>159</v>
      </c>
      <c r="C32" t="s">
        <v>161</v>
      </c>
      <c r="G32" s="16"/>
      <c r="H32" s="16"/>
      <c r="J32" s="16"/>
    </row>
    <row r="33" spans="1:10" x14ac:dyDescent="0.15">
      <c r="A33" s="24" t="s">
        <v>163</v>
      </c>
      <c r="B33" s="33" t="s">
        <v>162</v>
      </c>
      <c r="C33" t="s">
        <v>161</v>
      </c>
      <c r="G33" s="16"/>
      <c r="H33" s="16"/>
      <c r="J33" s="16"/>
    </row>
  </sheetData>
  <autoFilter ref="A1:K33">
    <filterColumn colId="7">
      <filters blank="1">
        <filter val="10.72%"/>
        <filter val="16.97%"/>
        <filter val="19.29%"/>
        <filter val="20.36%"/>
        <filter val="21.16%"/>
        <filter val="21.82%"/>
        <filter val="21.89%"/>
        <filter val="22.37%"/>
        <filter val="22.94%"/>
        <filter val="23.13%"/>
        <filter val="23.40%"/>
        <filter val="23.49%"/>
        <filter val="24.20%"/>
        <filter val="24.26%"/>
        <filter val="24.32%"/>
        <filter val="24.46%"/>
        <filter val="24.78%"/>
        <filter val="28.28%"/>
      </filters>
    </filterColumn>
    <filterColumn colId="8">
      <filters blank="1">
        <filter val="2.08%"/>
        <filter val="2.13%"/>
        <filter val="2.19%"/>
        <filter val="2.22%"/>
        <filter val="2.24%"/>
        <filter val="2.30%"/>
        <filter val="2.33%"/>
        <filter val="2.34%"/>
        <filter val="2.36%"/>
        <filter val="2.44%"/>
        <filter val="2.45%"/>
        <filter val="2.47%"/>
        <filter val="2.51%"/>
        <filter val="2.59%"/>
        <filter val="2.64%"/>
        <filter val="2.67%"/>
        <filter val="2.74%"/>
        <filter val="2.78%"/>
        <filter val="2.82%"/>
        <filter val="2.88%"/>
        <filter val="2.95%"/>
        <filter val="3.17%"/>
        <filter val="3.18%"/>
        <filter val="3.35%"/>
      </filters>
    </filterColumn>
    <filterColumn colId="9">
      <filters blank="1">
        <filter val="11.43%"/>
        <filter val="11.76%"/>
        <filter val="13.26%"/>
        <filter val="13.67%"/>
        <filter val="13.89%"/>
        <filter val="14.40%"/>
        <filter val="15.12%"/>
        <filter val="15.51%"/>
        <filter val="15.74%"/>
        <filter val="16.07%"/>
        <filter val="16.20%"/>
        <filter val="16.40%"/>
        <filter val="16.87%"/>
        <filter val="17.69%"/>
        <filter val="8.60%"/>
        <filter val="9.44%"/>
        <filter val="9.83%"/>
      </filters>
    </filterColumn>
  </autoFilter>
  <sortState ref="A2:K33">
    <sortCondition ref="J1:J33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zoomScale="90" zoomScaleNormal="90" workbookViewId="0">
      <selection activeCell="M13" sqref="M13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40</v>
      </c>
      <c r="B1" s="35" t="s">
        <v>5</v>
      </c>
      <c r="C1" s="35"/>
      <c r="D1" s="35"/>
      <c r="E1" s="35"/>
    </row>
    <row r="2" spans="1:12" x14ac:dyDescent="0.15">
      <c r="A2" s="10">
        <v>45170.7</v>
      </c>
      <c r="B2" s="5" t="s">
        <v>7</v>
      </c>
      <c r="C2" s="36">
        <v>113160</v>
      </c>
      <c r="D2" s="36"/>
      <c r="E2" s="36"/>
    </row>
    <row r="3" spans="1:12" x14ac:dyDescent="0.1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1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1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1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1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1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1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1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1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1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" customHeight="1" x14ac:dyDescent="0.1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" customHeight="1" x14ac:dyDescent="0.1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" customHeight="1" x14ac:dyDescent="0.1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7" t="s">
        <v>44</v>
      </c>
      <c r="G15" s="37"/>
      <c r="H15" s="37"/>
      <c r="I15" s="37"/>
      <c r="J15" s="37"/>
      <c r="K15" s="37"/>
    </row>
    <row r="16" spans="1:12" ht="14.1" customHeight="1" x14ac:dyDescent="0.1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7"/>
      <c r="G16" s="37"/>
      <c r="H16" s="37"/>
      <c r="I16" s="37"/>
      <c r="J16" s="37"/>
      <c r="K16" s="37"/>
    </row>
    <row r="17" spans="1:11" ht="14.1" customHeight="1" x14ac:dyDescent="0.1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7"/>
      <c r="G17" s="37"/>
      <c r="H17" s="37"/>
      <c r="I17" s="37"/>
      <c r="J17" s="37"/>
      <c r="K17" s="37"/>
    </row>
    <row r="18" spans="1:11" ht="14.1" customHeight="1" x14ac:dyDescent="0.1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7"/>
      <c r="G18" s="37"/>
      <c r="H18" s="37"/>
      <c r="I18" s="37"/>
      <c r="J18" s="37"/>
      <c r="K18" s="37"/>
    </row>
    <row r="19" spans="1:11" ht="14.1" customHeight="1" x14ac:dyDescent="0.15">
      <c r="A19" s="10"/>
      <c r="B19" s="2" t="s">
        <v>140</v>
      </c>
      <c r="C19" s="23">
        <v>13208.35</v>
      </c>
      <c r="D19" s="23">
        <v>26</v>
      </c>
      <c r="E19" s="3">
        <v>8.4500000000000006E-2</v>
      </c>
      <c r="F19" s="37"/>
      <c r="G19" s="37"/>
      <c r="H19" s="37"/>
      <c r="I19" s="37"/>
      <c r="J19" s="37"/>
      <c r="K19" s="37"/>
    </row>
    <row r="20" spans="1:11" ht="14.1" customHeight="1" x14ac:dyDescent="0.15">
      <c r="A20" s="10"/>
      <c r="B20" s="2" t="s">
        <v>146</v>
      </c>
      <c r="C20" s="25">
        <v>14101.95</v>
      </c>
      <c r="D20" s="25">
        <v>25.96</v>
      </c>
      <c r="E20" s="3">
        <v>8.7099999999999997E-2</v>
      </c>
      <c r="F20" s="37"/>
      <c r="G20" s="37"/>
      <c r="H20" s="37"/>
      <c r="I20" s="37"/>
      <c r="J20" s="37"/>
      <c r="K20" s="37"/>
    </row>
    <row r="21" spans="1:11" ht="14.1" customHeight="1" x14ac:dyDescent="0.15">
      <c r="A21" s="10"/>
      <c r="B21" s="2" t="s">
        <v>147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15">
      <c r="A22" s="10"/>
      <c r="B22" s="2" t="s">
        <v>148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D22" sqref="D22"/>
    </sheetView>
  </sheetViews>
  <sheetFormatPr defaultRowHeight="13.5" x14ac:dyDescent="0.15"/>
  <cols>
    <col min="1" max="4" width="12.625" customWidth="1"/>
    <col min="5" max="5" width="9.25" bestFit="1" customWidth="1"/>
    <col min="6" max="7" width="13" customWidth="1"/>
    <col min="10" max="10" width="41.625" bestFit="1" customWidth="1"/>
    <col min="12" max="12" width="5.625" customWidth="1"/>
    <col min="14" max="15" width="13" bestFit="1" customWidth="1"/>
  </cols>
  <sheetData>
    <row r="1" spans="1:11" ht="27" customHeight="1" x14ac:dyDescent="0.15">
      <c r="A1" s="35" t="s">
        <v>5</v>
      </c>
      <c r="B1" s="35"/>
      <c r="C1" s="35"/>
      <c r="D1" s="35"/>
    </row>
    <row r="2" spans="1:11" x14ac:dyDescent="0.15">
      <c r="A2" s="5" t="s">
        <v>7</v>
      </c>
      <c r="B2" s="36">
        <v>13546.06</v>
      </c>
      <c r="C2" s="36"/>
      <c r="D2" s="36"/>
    </row>
    <row r="3" spans="1:11" x14ac:dyDescent="0.15">
      <c r="A3" s="1" t="s">
        <v>1</v>
      </c>
      <c r="B3" s="39" t="s">
        <v>2</v>
      </c>
      <c r="C3" s="39"/>
      <c r="D3" s="4" t="s">
        <v>0</v>
      </c>
    </row>
    <row r="4" spans="1:11" x14ac:dyDescent="0.15">
      <c r="A4" s="2" t="s">
        <v>43</v>
      </c>
      <c r="B4" s="38">
        <v>-1.49</v>
      </c>
      <c r="C4" s="38"/>
      <c r="D4" s="3">
        <v>0</v>
      </c>
    </row>
    <row r="5" spans="1:11" x14ac:dyDescent="0.15">
      <c r="A5" s="2" t="s">
        <v>51</v>
      </c>
      <c r="B5" s="38">
        <v>-0.06</v>
      </c>
      <c r="C5" s="38"/>
      <c r="D5" s="3">
        <v>-3.0000000000000001E-3</v>
      </c>
    </row>
    <row r="6" spans="1:11" x14ac:dyDescent="0.15">
      <c r="A6" s="2" t="s">
        <v>53</v>
      </c>
      <c r="B6" s="38">
        <v>8.3000000000000007</v>
      </c>
      <c r="C6" s="38"/>
      <c r="D6" s="3">
        <v>3.0000000000000001E-3</v>
      </c>
    </row>
    <row r="7" spans="1:11" x14ac:dyDescent="0.15">
      <c r="A7" s="2" t="s">
        <v>54</v>
      </c>
      <c r="B7" s="38">
        <v>14.52</v>
      </c>
      <c r="C7" s="38"/>
      <c r="D7" s="3">
        <v>1.1999999999999999E-3</v>
      </c>
    </row>
    <row r="8" spans="1:11" x14ac:dyDescent="0.15">
      <c r="A8" s="2" t="s">
        <v>55</v>
      </c>
      <c r="B8" s="38">
        <v>9.6300000000000008</v>
      </c>
      <c r="C8" s="38"/>
      <c r="D8" s="3">
        <v>5.1000000000000004E-3</v>
      </c>
    </row>
    <row r="9" spans="1:11" x14ac:dyDescent="0.15">
      <c r="A9" s="2" t="s">
        <v>56</v>
      </c>
      <c r="B9" s="38">
        <v>4.66</v>
      </c>
      <c r="C9" s="38"/>
      <c r="D9" s="3">
        <v>4.4999999999999997E-3</v>
      </c>
    </row>
    <row r="10" spans="1:11" x14ac:dyDescent="0.15">
      <c r="A10" s="2" t="s">
        <v>57</v>
      </c>
      <c r="B10" s="38">
        <v>14.48</v>
      </c>
      <c r="C10" s="38"/>
      <c r="D10" s="3">
        <v>1.8E-3</v>
      </c>
    </row>
    <row r="11" spans="1:11" x14ac:dyDescent="0.15">
      <c r="A11" s="2" t="s">
        <v>58</v>
      </c>
      <c r="B11" s="38">
        <v>24.22</v>
      </c>
      <c r="C11" s="38"/>
      <c r="D11" s="3">
        <v>4.4000000000000003E-3</v>
      </c>
    </row>
    <row r="12" spans="1:11" ht="14.1" customHeight="1" x14ac:dyDescent="0.15">
      <c r="A12" s="2" t="s">
        <v>59</v>
      </c>
      <c r="B12" s="38">
        <v>51.62</v>
      </c>
      <c r="C12" s="38"/>
      <c r="D12" s="3">
        <v>7.3000000000000001E-3</v>
      </c>
    </row>
    <row r="13" spans="1:11" ht="14.1" customHeight="1" x14ac:dyDescent="0.15">
      <c r="A13" s="2" t="s">
        <v>140</v>
      </c>
      <c r="B13" s="38">
        <v>72.09</v>
      </c>
      <c r="C13" s="38"/>
      <c r="D13" s="3">
        <v>6.8999999999999999E-3</v>
      </c>
      <c r="K13" s="11"/>
    </row>
    <row r="14" spans="1:11" ht="14.1" customHeight="1" x14ac:dyDescent="0.15">
      <c r="A14" s="2" t="s">
        <v>145</v>
      </c>
      <c r="B14" s="38">
        <v>76.31</v>
      </c>
      <c r="C14" s="38"/>
      <c r="D14" s="3">
        <v>7.0000000000000001E-3</v>
      </c>
    </row>
    <row r="15" spans="1:11" ht="14.1" customHeight="1" x14ac:dyDescent="0.15">
      <c r="A15" s="2" t="s">
        <v>147</v>
      </c>
      <c r="B15" s="38">
        <v>134.65</v>
      </c>
      <c r="C15" s="38"/>
      <c r="D15" s="3">
        <v>1.12E-2</v>
      </c>
    </row>
    <row r="16" spans="1:11" ht="14.1" customHeight="1" x14ac:dyDescent="0.15">
      <c r="A16" s="2" t="s">
        <v>148</v>
      </c>
      <c r="B16" s="38">
        <v>236.67</v>
      </c>
      <c r="C16" s="38"/>
      <c r="D16" s="3">
        <v>1.7399999999999999E-2</v>
      </c>
    </row>
    <row r="17" spans="1:4" ht="14.1" customHeight="1" x14ac:dyDescent="0.15">
      <c r="A17" s="2"/>
      <c r="B17" s="38"/>
      <c r="C17" s="38"/>
      <c r="D17" s="3"/>
    </row>
    <row r="18" spans="1:4" ht="14.1" customHeight="1" x14ac:dyDescent="0.15">
      <c r="A18" s="2"/>
      <c r="B18" s="38"/>
      <c r="C18" s="38"/>
      <c r="D18" s="3"/>
    </row>
    <row r="19" spans="1:4" ht="14.1" customHeight="1" x14ac:dyDescent="0.15">
      <c r="A19" s="2"/>
      <c r="B19" s="38"/>
      <c r="C19" s="38"/>
      <c r="D19" s="3"/>
    </row>
    <row r="20" spans="1:4" ht="14.1" customHeight="1" x14ac:dyDescent="0.1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I17"/>
  <sheetViews>
    <sheetView zoomScaleNormal="100" workbookViewId="0">
      <selection activeCell="G24" sqref="G24"/>
    </sheetView>
  </sheetViews>
  <sheetFormatPr defaultRowHeight="13.5" x14ac:dyDescent="0.15"/>
  <sheetData>
    <row r="3" spans="3:9" x14ac:dyDescent="0.15">
      <c r="C3" t="s">
        <v>14</v>
      </c>
      <c r="I3" t="s">
        <v>29</v>
      </c>
    </row>
    <row r="4" spans="3:9" x14ac:dyDescent="0.15">
      <c r="C4" t="s">
        <v>15</v>
      </c>
      <c r="I4" t="s">
        <v>30</v>
      </c>
    </row>
    <row r="5" spans="3:9" x14ac:dyDescent="0.15">
      <c r="C5" t="s">
        <v>16</v>
      </c>
      <c r="I5" t="s">
        <v>31</v>
      </c>
    </row>
    <row r="6" spans="3:9" x14ac:dyDescent="0.15">
      <c r="C6" t="s">
        <v>17</v>
      </c>
      <c r="I6" t="s">
        <v>32</v>
      </c>
    </row>
    <row r="7" spans="3:9" x14ac:dyDescent="0.15">
      <c r="C7" t="s">
        <v>18</v>
      </c>
      <c r="I7" t="s">
        <v>33</v>
      </c>
    </row>
    <row r="8" spans="3:9" x14ac:dyDescent="0.15">
      <c r="C8" t="s">
        <v>19</v>
      </c>
      <c r="I8" t="s">
        <v>34</v>
      </c>
    </row>
    <row r="9" spans="3:9" x14ac:dyDescent="0.15">
      <c r="C9" t="s">
        <v>20</v>
      </c>
      <c r="I9" t="s">
        <v>35</v>
      </c>
    </row>
    <row r="10" spans="3:9" x14ac:dyDescent="0.15">
      <c r="C10" t="s">
        <v>21</v>
      </c>
      <c r="I10" t="s">
        <v>36</v>
      </c>
    </row>
    <row r="11" spans="3:9" x14ac:dyDescent="0.15">
      <c r="C11" t="s">
        <v>22</v>
      </c>
      <c r="I11" t="s">
        <v>37</v>
      </c>
    </row>
    <row r="12" spans="3:9" x14ac:dyDescent="0.15">
      <c r="C12" t="s">
        <v>23</v>
      </c>
    </row>
    <row r="13" spans="3:9" x14ac:dyDescent="0.15">
      <c r="C13" t="s">
        <v>24</v>
      </c>
    </row>
    <row r="14" spans="3:9" x14ac:dyDescent="0.15">
      <c r="C14" t="s">
        <v>25</v>
      </c>
    </row>
    <row r="15" spans="3:9" x14ac:dyDescent="0.15">
      <c r="C15" t="s">
        <v>26</v>
      </c>
    </row>
    <row r="16" spans="3:9" x14ac:dyDescent="0.15">
      <c r="C16" t="s">
        <v>27</v>
      </c>
    </row>
    <row r="17" spans="3:3" x14ac:dyDescent="0.1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9" sqref="H9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2021-02-02T15:44:36Z</dcterms:modified>
</cp:coreProperties>
</file>